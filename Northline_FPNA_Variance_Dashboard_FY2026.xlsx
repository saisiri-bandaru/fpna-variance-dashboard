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Assumptions" sheetId="2" state="visible" r:id="rId4"/>
    <sheet name="02_P&amp;L_Monthly" sheetId="3" state="visible" r:id="rId5"/>
    <sheet name="03_Variance" sheetId="4" state="visible" r:id="rId6"/>
    <sheet name="04_Dept_OpEx" sheetId="5" state="visible" r:id="rId7"/>
    <sheet name="05_Dashboard" sheetId="6" state="visible" r:id="rId8"/>
    <sheet name="06_Data_Dictionary" sheetId="7" state="visible" r:id="rId9"/>
  </sheets>
  <definedNames>
    <definedName function="false" hidden="false" localSheetId="0" name="_xlnm.Print_Titles" vbProcedure="false">00_Cover!$1:$3</definedName>
    <definedName function="false" hidden="false" name="CloseMonth" vbProcedure="false">01_Assumptions!$C$7</definedName>
    <definedName function="false" hidden="false" name="StdCogsRate" vbProcedure="false">01_Assumptions!$C$16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<sst xmlns="http://schemas.openxmlformats.org/spreadsheetml/2006/main" count="223" uniqueCount="148">
  <si>
    <t xml:space="preserve">Northline Consumer Products</t>
  </si>
  <si>
    <t xml:space="preserve">FP&amp;A Monthly Variance Dashboard  •  FY2026  •  $ in thousands</t>
  </si>
  <si>
    <t xml:space="preserve">Portfolio sample  |  All figures are fictional  |  Built for github.com/saisiri-bandaru/fpna-variance-dashboard</t>
  </si>
  <si>
    <t xml:space="preserve">Purpose</t>
  </si>
  <si>
    <t xml:space="preserve">This workbook is how an FP&amp;A analyst runs a monthly close flash: compare Actual vs Budget and Actual vs Forecast, explain revenue and margin movement, split OpEx by department, and flag lines that need a conversation with the business. Blue / yellow cells are inputs. Black cells are formulas. Do not paste confidential employer data into a public repo.</t>
  </si>
  <si>
    <t xml:space="preserve">Tab map</t>
  </si>
  <si>
    <t xml:space="preserve">Tab</t>
  </si>
  <si>
    <t xml:space="preserve">What it does</t>
  </si>
  <si>
    <t xml:space="preserve">01_Assumptions</t>
  </si>
  <si>
    <t xml:space="preserve">Company setup, close month, and scenario toggles</t>
  </si>
  <si>
    <t xml:space="preserve">02_P&amp;L_Monthly</t>
  </si>
  <si>
    <t xml:space="preserve">Revenue, COGS, GP, OpEx, EBITDA by month — Budget / Forecast / Actual</t>
  </si>
  <si>
    <t xml:space="preserve">03_Variance</t>
  </si>
  <si>
    <t xml:space="preserve">YTD and latest-month $ and % variances, margin bridges</t>
  </si>
  <si>
    <t xml:space="preserve">04_Dept_OpEx</t>
  </si>
  <si>
    <t xml:space="preserve">OpEx by cost center vs budget</t>
  </si>
  <si>
    <t xml:space="preserve">05_Dashboard</t>
  </si>
  <si>
    <t xml:space="preserve">One-page view for a standup or ELT pre-read</t>
  </si>
  <si>
    <t xml:space="preserve">06_Data_Dictionary</t>
  </si>
  <si>
    <t xml:space="preserve">Field definitions so another analyst can inherit the file</t>
  </si>
  <si>
    <t xml:space="preserve">How to refresh after month-end</t>
  </si>
  <si>
    <t xml:space="preserve">1. Set Close Month on 01_Assumptions (yellow cell).</t>
  </si>
  <si>
    <t xml:space="preserve">2. Enter Actuals for that month on 02_P&amp;L_Monthly (yellow cells). Leave future months blank.</t>
  </si>
  <si>
    <t xml:space="preserve">3. If the reforecast changed, update Forecast inputs on the same sheet.</t>
  </si>
  <si>
    <t xml:space="preserve">4. Read 05_Dashboard. Use 03_Variance for the narrative (price/mix proxy = revenue $ variance; cost = COGS rate vs budget).</t>
  </si>
  <si>
    <t xml:space="preserve">Assumptions &amp; control panel</t>
  </si>
  <si>
    <t xml:space="preserve">Company</t>
  </si>
  <si>
    <t xml:space="preserve">Northline Consumer Products (fictional)</t>
  </si>
  <si>
    <t xml:space="preserve">Fiscal year</t>
  </si>
  <si>
    <t xml:space="preserve">Reporting unit</t>
  </si>
  <si>
    <t xml:space="preserve">$ thousands</t>
  </si>
  <si>
    <t xml:space="preserve">Close month (1=Jan … 12=Dec)</t>
  </si>
  <si>
    <t xml:space="preserve">Sample file is closed through July.</t>
  </si>
  <si>
    <t xml:space="preserve">Close month name</t>
  </si>
  <si>
    <t xml:space="preserve">YTD months</t>
  </si>
  <si>
    <t xml:space="preserve">Color key</t>
  </si>
  <si>
    <t xml:space="preserve">Input (edit)</t>
  </si>
  <si>
    <t xml:space="preserve">123</t>
  </si>
  <si>
    <t xml:space="preserve">Blue font + yellow fill</t>
  </si>
  <si>
    <t xml:space="preserve">Formula</t>
  </si>
  <si>
    <t xml:space="preserve">calculated</t>
  </si>
  <si>
    <t xml:space="preserve">Black font — do not overwrite</t>
  </si>
  <si>
    <t xml:space="preserve">Budget cost rates (of revenue)</t>
  </si>
  <si>
    <t xml:space="preserve">Budget COGS %</t>
  </si>
  <si>
    <t xml:space="preserve">Used as the standard cost rate for the COGS rate variance</t>
  </si>
  <si>
    <t xml:space="preserve">Budget OpEx %</t>
  </si>
  <si>
    <t xml:space="preserve">Target GP %</t>
  </si>
  <si>
    <t xml:space="preserve">Notes</t>
  </si>
  <si>
    <t xml:space="preserve">Actuals exist for Jan–Jul. Aug–Dec actual cells are blank on purpose so you can practice a close. Forecast is a mid-year reforecast (slightly higher volume, slightly worse COGS rate — a common manufacturing / CPG pattern). Department splits on 04_Dept_OpEx use fixed weights of total OpEx for the sample; replace with a real mapping table in a live model.</t>
  </si>
  <si>
    <t xml:space="preserve">Monthly P&amp;L  •  $ thousands  •  inputs in yellow</t>
  </si>
  <si>
    <t xml:space="preserve">Line</t>
  </si>
  <si>
    <t xml:space="preserve">Case</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</si>
  <si>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</si>
  <si>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</si>
  <si>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</si>
  <si>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</si>
  <si>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</si>
  <si>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</si>
  <si>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</si>
  <si>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</si>
  <si>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</si>
  <si>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</si>
  <si>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</si>
  <si>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</si>
  <si>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FY</t>
  </si>
  <si>
    <t xml:space="preserve">Revenue</t>
  </si>
  <si>
    <t xml:space="preserve">Budget</t>
  </si>
  <si>
    <t xml:space="preserve">Forecast</t>
  </si>
  <si>
    <t xml:space="preserve">Actual</t>
  </si>
  <si>
    <t xml:space="preserve">COGS</t>
  </si>
  <si>
    <t xml:space="preserve">Gross profit</t>
  </si>
  <si>
    <t xml:space="preserve">OpEx</t>
  </si>
  <si>
    <t xml:space="preserve">EBITDA</t>
  </si>
  <si>
    <t xml:space="preserve">GP %</t>
  </si>
  <si>
    <t xml:space="preserve">COGS %</t>
  </si>
  <si>
    <t xml:space="preserve">Favorable / unfavorable convention: for Revenue, GP, EBITDA a positive Actual−Budget is favorable. For COGS and OpEx a positive Actual−Budget is unfavorable (higher cost).</t>
  </si>
  <si>
    <t xml:space="preserve">Variance analysis</t>
  </si>
  <si>
    <t xml:space="preserve">YTD uses months 1 through Close Month. Latest month = Close Month. $ thousands.</t>
  </si>
  <si>
    <t xml:space="preserve">YTD flash</t>
  </si>
  <si>
    <t xml:space="preserve">YTD Actual</t>
  </si>
  <si>
    <t xml:space="preserve">YTD Budget</t>
  </si>
  <si>
    <t xml:space="preserve">YTD Forecast</t>
  </si>
  <si>
    <t xml:space="preserve">Act vs Bud $</t>
  </si>
  <si>
    <t xml:space="preserve">Act vs Bud %</t>
  </si>
  <si>
    <t xml:space="preserve">Act vs Fcst $</t>
  </si>
  <si>
    <t xml:space="preserve">Latest closed month</t>
  </si>
  <si>
    <t xml:space="preserve">COGS rate bridge (cost accounting lens)</t>
  </si>
  <si>
    <t xml:space="preserve">YTD actual COGS %</t>
  </si>
  <si>
    <t xml:space="preserve">YTD budget COGS %</t>
  </si>
  <si>
    <t xml:space="preserve">Rate variance $ (actual sales × rate gap)</t>
  </si>
  <si>
    <t xml:space="preserve">Positive = costs ran hotter than standard — investigate yield, freight, mix, or standard cost updates</t>
  </si>
  <si>
    <t xml:space="preserve">Volume / activity $ on COGS (budget rate × sales gap)</t>
  </si>
  <si>
    <t xml:space="preserve">Check: rate $ + volume $ should tie to total COGS $ variance</t>
  </si>
  <si>
    <t xml:space="preserve">Tie-out (should match B26)</t>
  </si>
  <si>
    <t xml:space="preserve">Suggested close narrative (edit after you read the numbers)</t>
  </si>
  <si>
    <t xml:space="preserve">YTD revenue is slightly ahead of budget on stronger mid-year volume. Gross margin is the watch-item: COGS % is running above the 60% standard, so most of the COGS dollar miss is rate, not volume. That is the conversation with operations (scrap, mix into lower-margin SKUs, inbound freight). OpEx is close to budget; EBITDA follows the margin gap more than the spending gap.</t>
  </si>
  <si>
    <t xml:space="preserve">OpEx by department  •  $ thousands</t>
  </si>
  <si>
    <t xml:space="preserve">Department weights are sample planning rates. Replace with your mapping table for a live close.</t>
  </si>
  <si>
    <t xml:space="preserve">Department</t>
  </si>
  <si>
    <t xml:space="preserve">Weight</t>
  </si>
  <si>
    <t xml:space="preserve">Var $</t>
  </si>
  <si>
    <t xml:space="preserve">Var %</t>
  </si>
  <si>
    <t xml:space="preserve">Sales &amp; Marketing</t>
  </si>
  <si>
    <t xml:space="preserve">Operations</t>
  </si>
  <si>
    <t xml:space="preserve">G&amp;A</t>
  </si>
  <si>
    <t xml:space="preserve">Finance</t>
  </si>
  <si>
    <t xml:space="preserve">IT</t>
  </si>
  <si>
    <t xml:space="preserve">HR</t>
  </si>
  <si>
    <t xml:space="preserve">Control totals (must = 100% / YTD OpEx)</t>
  </si>
  <si>
    <t xml:space="preserve">YTD Actual OpEx</t>
  </si>
  <si>
    <t xml:space="preserve">YTD Budget OpEx</t>
  </si>
  <si>
    <t xml:space="preserve">Note: this sample applies the same weight to actual and budget so department variances only appear if you change a weight or hook departments to real actuals. That is intentional — it shows the structure without fake precision.</t>
  </si>
  <si>
    <t xml:space="preserve">FY2026 FP&amp;A flash</t>
  </si>
  <si>
    <t xml:space="preserve">YTD Revenue</t>
  </si>
  <si>
    <t xml:space="preserve">YTD Gross profit</t>
  </si>
  <si>
    <t xml:space="preserve">YTD EBITDA</t>
  </si>
  <si>
    <t xml:space="preserve">YTD COGS %</t>
  </si>
  <si>
    <t xml:space="preserve">variance vs budget</t>
  </si>
  <si>
    <t xml:space="preserve">Monthly revenue — Budget vs Forecast vs Actual</t>
  </si>
  <si>
    <t xml:space="preserve">Month</t>
  </si>
  <si>
    <t xml:space="preserve">What an interviewer should see</t>
  </si>
  <si>
    <t xml:space="preserve">You can run a monthly flash without a planning system: inputs stay isolated, variances are signed correctly for cost vs revenue, and COGS is split into rate vs volume so the operations conversation is specific. Swap the yellow cells for any company and the dashboard still holds.</t>
  </si>
  <si>
    <t xml:space="preserve">Data dictionary</t>
  </si>
  <si>
    <t xml:space="preserve">Field</t>
  </si>
  <si>
    <t xml:space="preserve">Definition</t>
  </si>
  <si>
    <t xml:space="preserve">Source in file</t>
  </si>
  <si>
    <t xml:space="preserve">Close month</t>
  </si>
  <si>
    <t xml:space="preserve">Last month with a complete actual close (1–12).</t>
  </si>
  <si>
    <t xml:space="preserve">01_Assumptions!C7</t>
  </si>
  <si>
    <t xml:space="preserve">Board / AOP plan locked before the year.</t>
  </si>
  <si>
    <t xml:space="preserve">02_P&amp;L_Monthly Budget rows</t>
  </si>
  <si>
    <t xml:space="preserve">Latest rolling reforecast (sample = mid-year).</t>
  </si>
  <si>
    <t xml:space="preserve">02_P&amp;L_Monthly Forecast rows</t>
  </si>
  <si>
    <t xml:space="preserve">Books after close. Future months left blank.</t>
  </si>
  <si>
    <t xml:space="preserve">02_P&amp;L_Monthly Actual rows</t>
  </si>
  <si>
    <t xml:space="preserve">Actual − Budget. For cost lines, positive means overspend.</t>
  </si>
  <si>
    <t xml:space="preserve">COGS rate variance</t>
  </si>
  <si>
    <t xml:space="preserve">Actual sales × (actual COGS% − budget COGS%).</t>
  </si>
  <si>
    <t xml:space="preserve">03_Variance!B24</t>
  </si>
  <si>
    <t xml:space="preserve">COGS volume variance</t>
  </si>
  <si>
    <t xml:space="preserve">Budget COGS% × (actual sales − budget sales).</t>
  </si>
  <si>
    <t xml:space="preserve">03_Variance!B25</t>
  </si>
  <si>
    <t xml:space="preserve">Department weight</t>
  </si>
  <si>
    <t xml:space="preserve">Planning mix of OpEx. Not a real GL map.</t>
  </si>
  <si>
    <t xml:space="preserve">04_Dept_OpEx!B5:B10</t>
  </si>
  <si>
    <t xml:space="preserve">Unit</t>
  </si>
  <si>
    <t xml:space="preserve">All money figures are $ thousands unless a % is labeled.</t>
  </si>
  <si>
    <t xml:space="preserve">Cover / Assumptions</t>
  </si>
</sst>
</file>

<file path=xl/styles.xml><?xml version="1.0" encoding="utf-8"?>
<styleSheet xmlns="http://schemas.openxmlformats.org/spreadsheetml/2006/main">
  <numFmts count="5">
    <numFmt numFmtId="164" formatCode="General"/>
    <numFmt numFmtId="165" formatCode="0"/>
    <numFmt numFmtId="166" formatCode="0.0%;\(0.0%\);\-"/>
    <numFmt numFmtId="167" formatCode="0.0%"/>
    <numFmt numFmtId="168" formatCode="\$#,##0;&quot;($&quot;#,##0\);\-"/>
  </numFmts>
  <fonts count="18">
    <font>
      <sz val="11"/>
      <color theme="1"/>
      <name val="Calibri"/>
      <family val="2"/>
      <charset val="1"/>
    </font>
    <font>
      <sz val="10"/>
      <name val="Arial"/>
      <family val="0"/>
    </font>
    <font>
      <sz val="10"/>
      <name val="Arial"/>
      <family val="0"/>
    </font>
    <font>
      <sz val="10"/>
      <name val="Arial"/>
      <family val="0"/>
    </font>
    <font>
      <b val="true"/>
      <sz val="20"/>
      <color rgb="FF1B365D"/>
      <name val="Calibri"/>
      <family val="0"/>
      <charset val="1"/>
    </font>
    <font>
      <sz val="14"/>
      <color rgb="FF0F6C8C"/>
      <name val="Calibri"/>
      <family val="0"/>
      <charset val="1"/>
    </font>
    <font>
      <i val="true"/>
      <sz val="9"/>
      <color rgb="FF667085"/>
      <name val="Calibri"/>
      <family val="0"/>
      <charset val="1"/>
    </font>
    <font>
      <b val="true"/>
      <sz val="13"/>
      <color rgb="FF1B365D"/>
      <name val="Calibri"/>
      <family val="0"/>
      <charset val="1"/>
    </font>
    <font>
      <sz val="10"/>
      <color rgb="FF1D2939"/>
      <name val="Calibri"/>
      <family val="0"/>
      <charset val="1"/>
    </font>
    <font>
      <b val="true"/>
      <sz val="10"/>
      <color rgb="FFFFFFFF"/>
      <name val="Calibri"/>
      <family val="0"/>
      <charset val="1"/>
    </font>
    <font>
      <b val="true"/>
      <sz val="10"/>
      <color rgb="FF1B365D"/>
      <name val="Calibri"/>
      <family val="0"/>
      <charset val="1"/>
    </font>
    <font>
      <sz val="10"/>
      <color rgb="FF0000FF"/>
      <name val="Calibri"/>
      <family val="0"/>
      <charset val="1"/>
    </font>
    <font>
      <sz val="10"/>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
      <sz val="12"/>
      <color rgb="FF0F6C8C"/>
      <name val="Calibri"/>
      <family val="0"/>
      <charset val="1"/>
    </font>
    <font>
      <b val="true"/>
      <sz val="16"/>
      <color rgb="FF1B365D"/>
      <name val="Calibri"/>
      <family val="0"/>
      <charset val="1"/>
    </font>
  </fonts>
  <fills count="6">
    <fill>
      <patternFill patternType="none"/>
    </fill>
    <fill>
      <patternFill patternType="gray125"/>
    </fill>
    <fill>
      <patternFill patternType="solid">
        <fgColor rgb="FF1B365D"/>
        <bgColor rgb="FF1D2939"/>
      </patternFill>
    </fill>
    <fill>
      <patternFill patternType="solid">
        <fgColor rgb="FFF4F7FA"/>
        <bgColor rgb="FFF9F9F9"/>
      </patternFill>
    </fill>
    <fill>
      <patternFill patternType="solid">
        <fgColor rgb="FFFFF3BF"/>
        <bgColor rgb="FFFFFF99"/>
      </patternFill>
    </fill>
    <fill>
      <patternFill patternType="solid">
        <fgColor rgb="FFE8F5EE"/>
        <bgColor rgb="FFF4F7FA"/>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center" textRotation="0" wrapText="tru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center" vertical="center" textRotation="0" wrapText="true" indent="0" shrinkToFit="false"/>
      <protection locked="true" hidden="false"/>
    </xf>
    <xf numFmtId="168" fontId="12"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8" fontId="17" fillId="0" borderId="1" xfId="0" applyFont="true" applyBorder="true" applyAlignment="true" applyProtection="false">
      <alignment horizontal="center"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C8C"/>
      <rgbColor rgb="FFD9D9D9"/>
      <rgbColor rgb="FF878787"/>
      <rgbColor rgb="FF9999FF"/>
      <rgbColor rgb="FFBE4B48"/>
      <rgbColor rgb="FFFFF3BF"/>
      <rgbColor rgb="FFE8F5EE"/>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4F7FA"/>
      <rgbColor rgb="FFF9F9F9"/>
      <rgbColor rgb="FFFFFF99"/>
      <rgbColor rgb="FF99CCFF"/>
      <rgbColor rgb="FFFF99CC"/>
      <rgbColor rgb="FFCC99FF"/>
      <rgbColor rgb="FFFFCC99"/>
      <rgbColor rgb="FF4A7EBB"/>
      <rgbColor rgb="FF33CCCC"/>
      <rgbColor rgb="FF98B855"/>
      <rgbColor rgb="FFFFCC00"/>
      <rgbColor rgb="FFFF9900"/>
      <rgbColor rgb="FFFF6600"/>
      <rgbColor rgb="FF667085"/>
      <rgbColor rgb="FF969696"/>
      <rgbColor rgb="FF1B365D"/>
      <rgbColor rgb="FF4F81BD"/>
      <rgbColor rgb="FF003300"/>
      <rgbColor rgb="FF333300"/>
      <rgbColor rgb="FF993300"/>
      <rgbColor rgb="FFC0504D"/>
      <rgbColor rgb="FF333399"/>
      <rgbColor rgb="FF1D29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YTD OpEx by department</a:t>
            </a:r>
          </a:p>
        </c:rich>
      </c:tx>
      <c:overlay val="0"/>
      <c:spPr>
        <a:noFill/>
        <a:ln w="0">
          <a:noFill/>
        </a:ln>
      </c:spPr>
    </c:title>
    <c:autoTitleDeleted val="0"/>
    <c:plotArea>
      <c:barChart>
        <c:barDir val="col"/>
        <c:grouping val="clustered"/>
        <c:varyColors val="0"/>
        <c:ser>
          <c:idx val="0"/>
          <c:order val="0"/>
          <c:tx>
            <c:strRef>
              <c:f>04_Dept_OpEx!C4</c:f>
              <c:strCache>
                <c:ptCount val="1"/>
                <c:pt idx="0">
                  <c:v>YTD Actual</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04_Dept_OpEx!$A$5:$A$10</c:f>
              <c:strCache>
                <c:ptCount val="6"/>
                <c:pt idx="0">
                  <c:v>Sales &amp; Marketing</c:v>
                </c:pt>
                <c:pt idx="1">
                  <c:v>Operations</c:v>
                </c:pt>
                <c:pt idx="2">
                  <c:v>G&amp;A</c:v>
                </c:pt>
                <c:pt idx="3">
                  <c:v>Finance</c:v>
                </c:pt>
                <c:pt idx="4">
                  <c:v>IT</c:v>
                </c:pt>
                <c:pt idx="5">
                  <c:v>HR</c:v>
                </c:pt>
              </c:strCache>
            </c:strRef>
          </c:cat>
          <c:val>
            <c:numRef>
              <c:f>04_Dept_OpEx!$C$5:$C$10</c:f>
              <c:numCache>
                <c:formatCode>\$#,##0;"($"#,##0\);\-</c:formatCode>
                <c:ptCount val="6"/>
                <c:pt idx="0">
                  <c:v>2748.16</c:v>
                </c:pt>
                <c:pt idx="1">
                  <c:v>1591.04</c:v>
                </c:pt>
                <c:pt idx="2">
                  <c:v>1301.76</c:v>
                </c:pt>
                <c:pt idx="3">
                  <c:v>650.88</c:v>
                </c:pt>
                <c:pt idx="4">
                  <c:v>578.56</c:v>
                </c:pt>
                <c:pt idx="5">
                  <c:v>361.6</c:v>
                </c:pt>
              </c:numCache>
            </c:numRef>
          </c:val>
        </c:ser>
        <c:ser>
          <c:idx val="1"/>
          <c:order val="1"/>
          <c:tx>
            <c:strRef>
              <c:f>04_Dept_OpEx!D4</c:f>
              <c:strCache>
                <c:ptCount val="1"/>
                <c:pt idx="0">
                  <c:v>YTD Budget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04_Dept_OpEx!$A$5:$A$10</c:f>
              <c:strCache>
                <c:ptCount val="6"/>
                <c:pt idx="0">
                  <c:v>Sales &amp; Marketing</c:v>
                </c:pt>
                <c:pt idx="1">
                  <c:v>Operations</c:v>
                </c:pt>
                <c:pt idx="2">
                  <c:v>G&amp;A</c:v>
                </c:pt>
                <c:pt idx="3">
                  <c:v>Finance</c:v>
                </c:pt>
                <c:pt idx="4">
                  <c:v>IT</c:v>
                </c:pt>
                <c:pt idx="5">
                  <c:v>HR</c:v>
                </c:pt>
              </c:strCache>
            </c:strRef>
          </c:cat>
          <c:val>
            <c:numRef>
              <c:f>04_Dept_OpEx!$D$5:$D$10</c:f>
              <c:numCache>
                <c:formatCode>\$#,##0;"($"#,##0\);\-</c:formatCode>
                <c:ptCount val="6"/>
                <c:pt idx="0">
                  <c:v>2682.8</c:v>
                </c:pt>
                <c:pt idx="1">
                  <c:v>1553.2</c:v>
                </c:pt>
                <c:pt idx="2">
                  <c:v>1270.8</c:v>
                </c:pt>
                <c:pt idx="3">
                  <c:v>635.4</c:v>
                </c:pt>
                <c:pt idx="4">
                  <c:v>564.8</c:v>
                </c:pt>
                <c:pt idx="5">
                  <c:v>353</c:v>
                </c:pt>
              </c:numCache>
            </c:numRef>
          </c:val>
        </c:ser>
        <c:gapWidth val="150"/>
        <c:overlap val="0"/>
        <c:axId val="38667820"/>
        <c:axId val="9413647"/>
      </c:barChart>
      <c:catAx>
        <c:axId val="386678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13647"/>
        <c:crosses val="autoZero"/>
        <c:auto val="1"/>
        <c:lblAlgn val="ctr"/>
        <c:lblOffset val="100"/>
        <c:noMultiLvlLbl val="0"/>
      </c:catAx>
      <c:valAx>
        <c:axId val="94136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thousands</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6678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"Budget"</c:f>
              <c:strCache>
                <c:ptCount val="1"/>
                <c:pt idx="0">
                  <c:v>Budget</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05_Dashboard!$C$13:$N$13</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05_Dashboard!$C$14:$N$14</c:f>
              <c:numCache>
                <c:formatCode>\$#,##0;"($"#,##0\);\-</c:formatCode>
                <c:ptCount val="12"/>
                <c:pt idx="0">
                  <c:v>4200</c:v>
                </c:pt>
                <c:pt idx="1">
                  <c:v>4150</c:v>
                </c:pt>
                <c:pt idx="2">
                  <c:v>4380</c:v>
                </c:pt>
                <c:pt idx="3">
                  <c:v>4520</c:v>
                </c:pt>
                <c:pt idx="4">
                  <c:v>4680</c:v>
                </c:pt>
                <c:pt idx="5">
                  <c:v>4900</c:v>
                </c:pt>
                <c:pt idx="6">
                  <c:v>5050</c:v>
                </c:pt>
                <c:pt idx="7">
                  <c:v>5120</c:v>
                </c:pt>
                <c:pt idx="8">
                  <c:v>4980</c:v>
                </c:pt>
                <c:pt idx="9">
                  <c:v>5200</c:v>
                </c:pt>
                <c:pt idx="10">
                  <c:v>5450</c:v>
                </c:pt>
                <c:pt idx="11">
                  <c:v>5720</c:v>
                </c:pt>
              </c:numCache>
            </c:numRef>
          </c:val>
          <c:smooth val="1"/>
        </c:ser>
        <c:ser>
          <c:idx val="1"/>
          <c:order val="1"/>
          <c:tx>
            <c:strRef>
              <c:f>"Forecast"</c:f>
              <c:strCache>
                <c:ptCount val="1"/>
                <c:pt idx="0">
                  <c:v>Forecast</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05_Dashboard!$C$13:$N$13</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05_Dashboard!$C$15:$N$15</c:f>
              <c:numCache>
                <c:formatCode>\$#,##0;"($"#,##0\);\-</c:formatCode>
                <c:ptCount val="12"/>
                <c:pt idx="0">
                  <c:v>4180</c:v>
                </c:pt>
                <c:pt idx="1">
                  <c:v>4120</c:v>
                </c:pt>
                <c:pt idx="2">
                  <c:v>4410</c:v>
                </c:pt>
                <c:pt idx="3">
                  <c:v>4490</c:v>
                </c:pt>
                <c:pt idx="4">
                  <c:v>4710</c:v>
                </c:pt>
                <c:pt idx="5">
                  <c:v>5020</c:v>
                </c:pt>
                <c:pt idx="6">
                  <c:v>5180</c:v>
                </c:pt>
                <c:pt idx="7">
                  <c:v>5240</c:v>
                </c:pt>
                <c:pt idx="8">
                  <c:v>5100</c:v>
                </c:pt>
                <c:pt idx="9">
                  <c:v>5350</c:v>
                </c:pt>
                <c:pt idx="10">
                  <c:v>5600</c:v>
                </c:pt>
                <c:pt idx="11">
                  <c:v>5880</c:v>
                </c:pt>
              </c:numCache>
            </c:numRef>
          </c:val>
          <c:smooth val="1"/>
        </c:ser>
        <c:ser>
          <c:idx val="2"/>
          <c:order val="2"/>
          <c:tx>
            <c:strRef>
              <c:f>"Actual"</c:f>
              <c:strCache>
                <c:ptCount val="1"/>
                <c:pt idx="0">
                  <c:v>Actual</c:v>
                </c:pt>
              </c:strCache>
            </c:strRef>
          </c:tx>
          <c:spPr>
            <a:solidFill>
              <a:srgbClr val="98b855"/>
            </a:solidFill>
            <a:ln w="475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05_Dashboard!$C$13:$N$13</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05_Dashboard!$C$16:$N$16</c:f>
              <c:numCache>
                <c:formatCode>\$#,##0;"($"#,##0\);\-</c:formatCode>
                <c:ptCount val="12"/>
                <c:pt idx="0">
                  <c:v>4165</c:v>
                </c:pt>
                <c:pt idx="1">
                  <c:v>4098</c:v>
                </c:pt>
                <c:pt idx="2">
                  <c:v>4442</c:v>
                </c:pt>
                <c:pt idx="3">
                  <c:v>4475</c:v>
                </c:pt>
                <c:pt idx="4">
                  <c:v>4738</c:v>
                </c:pt>
                <c:pt idx="5">
                  <c:v>5088</c:v>
                </c:pt>
                <c:pt idx="6">
                  <c:v>5210</c:v>
                </c:pt>
                <c:pt idx="7">
                  <c:v>0</c:v>
                </c:pt>
                <c:pt idx="8">
                  <c:v>0</c:v>
                </c:pt>
                <c:pt idx="9">
                  <c:v>0</c:v>
                </c:pt>
                <c:pt idx="10">
                  <c:v>0</c:v>
                </c:pt>
                <c:pt idx="11">
                  <c:v>0</c:v>
                </c:pt>
              </c:numCache>
            </c:numRef>
          </c:val>
          <c:smooth val="1"/>
        </c:ser>
        <c:hiLowLines>
          <c:spPr>
            <a:ln w="0">
              <a:noFill/>
            </a:ln>
          </c:spPr>
        </c:hiLowLines>
        <c:marker val="0"/>
        <c:axId val="3488737"/>
        <c:axId val="70500233"/>
      </c:lineChart>
      <c:catAx>
        <c:axId val="34887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500233"/>
        <c:crosses val="autoZero"/>
        <c:auto val="1"/>
        <c:lblAlgn val="ctr"/>
        <c:lblOffset val="100"/>
        <c:noMultiLvlLbl val="0"/>
      </c:catAx>
      <c:valAx>
        <c:axId val="705002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thousands</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87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55800</xdr:rowOff>
    </xdr:from>
    <xdr:to>
      <xdr:col>5</xdr:col>
      <xdr:colOff>417960</xdr:colOff>
      <xdr:row>31</xdr:row>
      <xdr:rowOff>78120</xdr:rowOff>
    </xdr:to>
    <xdr:graphicFrame>
      <xdr:nvGraphicFramePr>
        <xdr:cNvPr id="0" name="Chart 1"/>
        <xdr:cNvGraphicFramePr/>
      </xdr:nvGraphicFramePr>
      <xdr:xfrm>
        <a:off x="0" y="323856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15</xdr:row>
      <xdr:rowOff>172080</xdr:rowOff>
    </xdr:from>
    <xdr:to>
      <xdr:col>8</xdr:col>
      <xdr:colOff>699840</xdr:colOff>
      <xdr:row>29</xdr:row>
      <xdr:rowOff>24840</xdr:rowOff>
    </xdr:to>
    <xdr:graphicFrame>
      <xdr:nvGraphicFramePr>
        <xdr:cNvPr id="1" name="Chart 1"/>
        <xdr:cNvGraphicFramePr/>
      </xdr:nvGraphicFramePr>
      <xdr:xfrm>
        <a:off x="211320" y="323856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78"/>
    <col collapsed="false" customWidth="true" hidden="false" outlineLevel="0" max="8" min="4" style="0" width="14"/>
  </cols>
  <sheetData>
    <row r="2" customFormat="false" ht="24.45" hidden="false" customHeight="false" outlineLevel="0" collapsed="false">
      <c r="B2" s="1" t="s">
        <v>0</v>
      </c>
      <c r="C2" s="1"/>
      <c r="D2" s="1"/>
      <c r="E2" s="1"/>
      <c r="F2" s="1"/>
      <c r="G2" s="1"/>
      <c r="H2" s="1"/>
    </row>
    <row r="3" customFormat="false" ht="17.35" hidden="false" customHeight="false" outlineLevel="0" collapsed="false">
      <c r="B3" s="2" t="s">
        <v>1</v>
      </c>
      <c r="C3" s="2"/>
      <c r="D3" s="2"/>
      <c r="E3" s="2"/>
      <c r="F3" s="2"/>
      <c r="G3" s="2"/>
      <c r="H3" s="2"/>
    </row>
    <row r="5" customFormat="false" ht="15" hidden="false" customHeight="false" outlineLevel="0" collapsed="false">
      <c r="B5" s="3" t="s">
        <v>2</v>
      </c>
      <c r="C5" s="3"/>
      <c r="D5" s="3"/>
      <c r="E5" s="3"/>
      <c r="F5" s="3"/>
      <c r="G5" s="3"/>
      <c r="H5" s="3"/>
    </row>
    <row r="7" customFormat="false" ht="16.15" hidden="false" customHeight="false" outlineLevel="0" collapsed="false">
      <c r="B7" s="4" t="s">
        <v>3</v>
      </c>
    </row>
    <row r="8" customFormat="false" ht="48" hidden="false" customHeight="true" outlineLevel="0" collapsed="false">
      <c r="B8" s="5" t="s">
        <v>4</v>
      </c>
      <c r="C8" s="5"/>
      <c r="D8" s="5"/>
      <c r="E8" s="5"/>
      <c r="F8" s="5"/>
      <c r="G8" s="5"/>
      <c r="H8" s="5"/>
    </row>
    <row r="9" customFormat="false" ht="15" hidden="false" customHeight="false" outlineLevel="0" collapsed="false">
      <c r="B9" s="5"/>
      <c r="C9" s="5"/>
      <c r="D9" s="5"/>
      <c r="E9" s="5"/>
      <c r="F9" s="5"/>
      <c r="G9" s="5"/>
      <c r="H9" s="5"/>
    </row>
    <row r="10" customFormat="false" ht="15" hidden="false" customHeight="false" outlineLevel="0" collapsed="false">
      <c r="B10" s="5"/>
      <c r="C10" s="5"/>
      <c r="D10" s="5"/>
      <c r="E10" s="5"/>
      <c r="F10" s="5"/>
      <c r="G10" s="5"/>
      <c r="H10" s="5"/>
    </row>
    <row r="12" customFormat="false" ht="16.15" hidden="false" customHeight="false" outlineLevel="0" collapsed="false">
      <c r="B12" s="4" t="s">
        <v>5</v>
      </c>
    </row>
    <row r="13" customFormat="false" ht="15" hidden="false" customHeight="false" outlineLevel="0" collapsed="false">
      <c r="B13" s="6" t="s">
        <v>6</v>
      </c>
      <c r="C13" s="6" t="s">
        <v>7</v>
      </c>
    </row>
    <row r="14" customFormat="false" ht="15" hidden="false" customHeight="false" outlineLevel="0" collapsed="false">
      <c r="B14" s="7" t="s">
        <v>8</v>
      </c>
      <c r="C14" s="8" t="s">
        <v>9</v>
      </c>
    </row>
    <row r="15" customFormat="false" ht="15" hidden="false" customHeight="false" outlineLevel="0" collapsed="false">
      <c r="B15" s="9" t="s">
        <v>10</v>
      </c>
      <c r="C15" s="10" t="s">
        <v>11</v>
      </c>
    </row>
    <row r="16" customFormat="false" ht="15" hidden="false" customHeight="false" outlineLevel="0" collapsed="false">
      <c r="B16" s="7" t="s">
        <v>12</v>
      </c>
      <c r="C16" s="8" t="s">
        <v>13</v>
      </c>
    </row>
    <row r="17" customFormat="false" ht="15" hidden="false" customHeight="false" outlineLevel="0" collapsed="false">
      <c r="B17" s="9" t="s">
        <v>14</v>
      </c>
      <c r="C17" s="10" t="s">
        <v>15</v>
      </c>
    </row>
    <row r="18" customFormat="false" ht="15" hidden="false" customHeight="false" outlineLevel="0" collapsed="false">
      <c r="B18" s="7" t="s">
        <v>16</v>
      </c>
      <c r="C18" s="8" t="s">
        <v>17</v>
      </c>
    </row>
    <row r="19" customFormat="false" ht="15" hidden="false" customHeight="false" outlineLevel="0" collapsed="false">
      <c r="B19" s="9" t="s">
        <v>18</v>
      </c>
      <c r="C19" s="10" t="s">
        <v>19</v>
      </c>
    </row>
    <row r="22" customFormat="false" ht="16.15" hidden="false" customHeight="false" outlineLevel="0" collapsed="false">
      <c r="B22" s="4" t="s">
        <v>20</v>
      </c>
    </row>
    <row r="23" customFormat="false" ht="15" hidden="false" customHeight="false" outlineLevel="0" collapsed="false">
      <c r="B23" s="11" t="s">
        <v>21</v>
      </c>
      <c r="C23" s="11"/>
      <c r="D23" s="11"/>
      <c r="E23" s="11"/>
      <c r="F23" s="11"/>
      <c r="G23" s="11"/>
    </row>
    <row r="24" customFormat="false" ht="15" hidden="false" customHeight="false" outlineLevel="0" collapsed="false">
      <c r="B24" s="11" t="s">
        <v>22</v>
      </c>
      <c r="C24" s="11"/>
      <c r="D24" s="11"/>
      <c r="E24" s="11"/>
      <c r="F24" s="11"/>
      <c r="G24" s="11"/>
    </row>
    <row r="25" customFormat="false" ht="15" hidden="false" customHeight="false" outlineLevel="0" collapsed="false">
      <c r="B25" s="11" t="s">
        <v>23</v>
      </c>
      <c r="C25" s="11"/>
      <c r="D25" s="11"/>
      <c r="E25" s="11"/>
      <c r="F25" s="11"/>
      <c r="G25" s="11"/>
    </row>
    <row r="26" customFormat="false" ht="15" hidden="false" customHeight="false" outlineLevel="0" collapsed="false">
      <c r="B26" s="11" t="s">
        <v>24</v>
      </c>
      <c r="C26" s="11"/>
      <c r="D26" s="11"/>
      <c r="E26" s="11"/>
      <c r="F26" s="11"/>
      <c r="G26" s="11"/>
    </row>
  </sheetData>
  <mergeCells count="8">
    <mergeCell ref="B2:H2"/>
    <mergeCell ref="B3:H3"/>
    <mergeCell ref="B5:H5"/>
    <mergeCell ref="B8:H10"/>
    <mergeCell ref="B23:G23"/>
    <mergeCell ref="B24:G24"/>
    <mergeCell ref="B25:G25"/>
    <mergeCell ref="B26:G26"/>
  </mergeCells>
  <printOptions headings="false" gridLines="false" gridLinesSet="true" horizontalCentered="true" verticalCentered="false"/>
  <pageMargins left="0.5" right="0.5" top="0.5" bottom="0.5"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3" min="3" style="0" width="42"/>
    <col collapsed="false" customWidth="true" hidden="false" outlineLevel="0" max="4" min="4" style="0" width="55"/>
    <col collapsed="false" customWidth="true" hidden="false" outlineLevel="0" max="6" min="5" style="0" width="16"/>
  </cols>
  <sheetData>
    <row r="2" customFormat="false" ht="24.45" hidden="false" customHeight="false" outlineLevel="0" collapsed="false">
      <c r="B2" s="1" t="s">
        <v>25</v>
      </c>
      <c r="C2" s="1"/>
      <c r="D2" s="1"/>
      <c r="E2" s="1"/>
      <c r="F2" s="1"/>
    </row>
    <row r="4" customFormat="false" ht="15" hidden="false" customHeight="false" outlineLevel="0" collapsed="false">
      <c r="B4" s="12" t="s">
        <v>26</v>
      </c>
      <c r="C4" s="13" t="s">
        <v>27</v>
      </c>
    </row>
    <row r="5" customFormat="false" ht="15" hidden="false" customHeight="false" outlineLevel="0" collapsed="false">
      <c r="B5" s="12" t="s">
        <v>28</v>
      </c>
      <c r="C5" s="14" t="n">
        <v>2026</v>
      </c>
    </row>
    <row r="6" customFormat="false" ht="15" hidden="false" customHeight="false" outlineLevel="0" collapsed="false">
      <c r="B6" s="12" t="s">
        <v>29</v>
      </c>
      <c r="C6" s="13" t="s">
        <v>30</v>
      </c>
    </row>
    <row r="7" customFormat="false" ht="15" hidden="false" customHeight="false" outlineLevel="0" collapsed="false">
      <c r="B7" s="12" t="s">
        <v>31</v>
      </c>
      <c r="C7" s="15" t="n">
        <v>7</v>
      </c>
      <c r="D7" s="16" t="s">
        <v>32</v>
      </c>
    </row>
    <row r="8" customFormat="false" ht="15" hidden="false" customHeight="false" outlineLevel="0" collapsed="false">
      <c r="B8" s="12" t="s">
        <v>33</v>
      </c>
      <c r="C8" s="17" t="str">
        <f aca="false">INDEX({"Jan","Feb","Mar","Apr","May","Jun","Jul","Aug","Sep","Oct","Nov","Dec"},C7)</f>
        <v>Jul</v>
      </c>
    </row>
    <row r="9" customFormat="false" ht="15" hidden="false" customHeight="false" outlineLevel="0" collapsed="false">
      <c r="B9" s="12" t="s">
        <v>34</v>
      </c>
      <c r="C9" s="18" t="n">
        <f aca="false">C7</f>
        <v>7</v>
      </c>
    </row>
    <row r="11" customFormat="false" ht="16.15" hidden="false" customHeight="false" outlineLevel="0" collapsed="false">
      <c r="B11" s="4" t="s">
        <v>35</v>
      </c>
    </row>
    <row r="12" customFormat="false" ht="15" hidden="false" customHeight="false" outlineLevel="0" collapsed="false">
      <c r="B12" s="0" t="s">
        <v>36</v>
      </c>
      <c r="C12" s="14" t="s">
        <v>37</v>
      </c>
      <c r="D12" s="13" t="s">
        <v>38</v>
      </c>
    </row>
    <row r="13" customFormat="false" ht="15" hidden="false" customHeight="false" outlineLevel="0" collapsed="false">
      <c r="B13" s="0" t="s">
        <v>39</v>
      </c>
      <c r="C13" s="17" t="s">
        <v>40</v>
      </c>
      <c r="D13" s="13" t="s">
        <v>41</v>
      </c>
    </row>
    <row r="15" customFormat="false" ht="16.15" hidden="false" customHeight="false" outlineLevel="0" collapsed="false">
      <c r="B15" s="4" t="s">
        <v>42</v>
      </c>
    </row>
    <row r="16" customFormat="false" ht="15" hidden="false" customHeight="false" outlineLevel="0" collapsed="false">
      <c r="B16" s="0" t="s">
        <v>43</v>
      </c>
      <c r="C16" s="19" t="n">
        <v>0.6</v>
      </c>
      <c r="D16" s="16" t="s">
        <v>44</v>
      </c>
    </row>
    <row r="17" customFormat="false" ht="15" hidden="false" customHeight="false" outlineLevel="0" collapsed="false">
      <c r="B17" s="0" t="s">
        <v>45</v>
      </c>
      <c r="C17" s="19" t="n">
        <v>0.22</v>
      </c>
    </row>
    <row r="18" customFormat="false" ht="15" hidden="false" customHeight="false" outlineLevel="0" collapsed="false">
      <c r="B18" s="0" t="s">
        <v>46</v>
      </c>
      <c r="C18" s="20" t="n">
        <f aca="false">1-C16</f>
        <v>0.4</v>
      </c>
    </row>
    <row r="20" customFormat="false" ht="16.15" hidden="false" customHeight="false" outlineLevel="0" collapsed="false">
      <c r="B20" s="4" t="s">
        <v>47</v>
      </c>
    </row>
    <row r="21" customFormat="false" ht="49.5" hidden="false" customHeight="true" outlineLevel="0" collapsed="false">
      <c r="B21" s="5" t="s">
        <v>48</v>
      </c>
      <c r="C21" s="5"/>
      <c r="D21" s="5"/>
      <c r="E21" s="5"/>
      <c r="F21" s="5"/>
    </row>
    <row r="22" customFormat="false" ht="15" hidden="false" customHeight="false" outlineLevel="0" collapsed="false">
      <c r="B22" s="5"/>
      <c r="C22" s="5"/>
      <c r="D22" s="5"/>
      <c r="E22" s="5"/>
      <c r="F22" s="5"/>
    </row>
    <row r="23" customFormat="false" ht="15" hidden="false" customHeight="false" outlineLevel="0" collapsed="false">
      <c r="B23" s="5"/>
      <c r="C23" s="5"/>
      <c r="D23" s="5"/>
      <c r="E23" s="5"/>
      <c r="F23" s="5"/>
    </row>
  </sheetData>
  <mergeCells count="2">
    <mergeCell ref="B2:F2"/>
    <mergeCell ref="B21:F23"/>
  </mergeCells>
  <printOptions headings="false" gridLines="false" gridLinesSet="true" horizontalCentered="true" verticalCentered="false"/>
  <pageMargins left="0.75" right="0.75" top="1" bottom="1"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15" min="3" style="0" width="11"/>
  </cols>
  <sheetData>
    <row r="1" customFormat="false" ht="24.45" hidden="false" customHeight="false" outlineLevel="0" collapsed="false">
      <c r="A1" s="1" t="s">
        <v>49</v>
      </c>
      <c r="B1" s="1"/>
      <c r="C1" s="1"/>
      <c r="D1" s="1"/>
      <c r="E1" s="1"/>
      <c r="F1" s="1"/>
      <c r="G1" s="1"/>
      <c r="H1" s="1"/>
      <c r="I1" s="1"/>
      <c r="J1" s="1"/>
      <c r="K1" s="1"/>
      <c r="L1" s="1"/>
      <c r="M1" s="1"/>
      <c r="N1" s="1"/>
      <c r="O1" s="1"/>
    </row>
    <row r="2" customFormat="false" ht="15" hidden="false" customHeight="false" outlineLevel="0" collapsed="false">
      <c r="A2" s="16" t="str">
        <f aca="false">"Close month: "&amp;TEXT(01_Assumptions!C7,"0")&amp;"  ("&amp;01_Assumptions!C8&amp;")"</f>
        <v>Close month: 7  (Jul)</v>
      </c>
    </row>
    <row r="4" customFormat="false" ht="15" hidden="false" customHeight="false" outlineLevel="0" collapsed="false">
      <c r="A4" s="6" t="s">
        <v>50</v>
      </c>
      <c r="B4" s="6" t="s">
        <v>51</v>
      </c>
      <c r="C4" s="6" t="s">
        <v>52</v>
      </c>
      <c r="D4" s="6" t="s">
        <v>53</v>
      </c>
      <c r="E4" s="6" t="s">
        <v>54</v>
      </c>
      <c r="F4" s="6" t="s">
        <v>55</v>
      </c>
      <c r="G4" s="6" t="s">
        <v>56</v>
      </c>
      <c r="H4" s="6" t="s">
        <v>57</v>
      </c>
      <c r="I4" s="6" t="s">
        <v>58</v>
      </c>
      <c r="J4" s="6" t="s">
        <v>59</v>
      </c>
      <c r="K4" s="6" t="s">
        <v>60</v>
      </c>
      <c r="L4" s="6" t="s">
        <v>61</v>
      </c>
      <c r="M4" s="6" t="s">
        <v>62</v>
      </c>
      <c r="N4" s="6" t="s">
        <v>63</v>
      </c>
      <c r="O4" s="6" t="s">
        <v>64</v>
      </c>
    </row>
    <row r="5" customFormat="false" ht="15" hidden="false" customHeight="false" outlineLevel="0" collapsed="false">
      <c r="A5" s="9" t="s">
        <v>65</v>
      </c>
      <c r="B5" s="8" t="s">
        <v>66</v>
      </c>
      <c r="C5" s="21" t="n">
        <v>4200</v>
      </c>
      <c r="D5" s="21" t="n">
        <v>4150</v>
      </c>
      <c r="E5" s="21" t="n">
        <v>4380</v>
      </c>
      <c r="F5" s="21" t="n">
        <v>4520</v>
      </c>
      <c r="G5" s="21" t="n">
        <v>4680</v>
      </c>
      <c r="H5" s="21" t="n">
        <v>4900</v>
      </c>
      <c r="I5" s="21" t="n">
        <v>5050</v>
      </c>
      <c r="J5" s="21" t="n">
        <v>5120</v>
      </c>
      <c r="K5" s="21" t="n">
        <v>4980</v>
      </c>
      <c r="L5" s="21" t="n">
        <v>5200</v>
      </c>
      <c r="M5" s="21" t="n">
        <v>5450</v>
      </c>
      <c r="N5" s="21" t="n">
        <v>5720</v>
      </c>
      <c r="O5" s="22" t="n">
        <f aca="false">SUM(C5:N5)</f>
        <v>58350</v>
      </c>
    </row>
    <row r="6" customFormat="false" ht="15" hidden="false" customHeight="false" outlineLevel="0" collapsed="false">
      <c r="A6" s="9" t="s">
        <v>65</v>
      </c>
      <c r="B6" s="10" t="s">
        <v>67</v>
      </c>
      <c r="C6" s="21" t="n">
        <v>4180</v>
      </c>
      <c r="D6" s="21" t="n">
        <v>4120</v>
      </c>
      <c r="E6" s="21" t="n">
        <v>4410</v>
      </c>
      <c r="F6" s="21" t="n">
        <v>4490</v>
      </c>
      <c r="G6" s="21" t="n">
        <v>4710</v>
      </c>
      <c r="H6" s="21" t="n">
        <v>5020</v>
      </c>
      <c r="I6" s="21" t="n">
        <v>5180</v>
      </c>
      <c r="J6" s="21" t="n">
        <v>5240</v>
      </c>
      <c r="K6" s="21" t="n">
        <v>5100</v>
      </c>
      <c r="L6" s="21" t="n">
        <v>5350</v>
      </c>
      <c r="M6" s="21" t="n">
        <v>5600</v>
      </c>
      <c r="N6" s="21" t="n">
        <v>5880</v>
      </c>
      <c r="O6" s="22" t="n">
        <f aca="false">SUM(C6:N6)</f>
        <v>59280</v>
      </c>
    </row>
    <row r="7" customFormat="false" ht="15" hidden="false" customHeight="false" outlineLevel="0" collapsed="false">
      <c r="A7" s="9" t="s">
        <v>65</v>
      </c>
      <c r="B7" s="23" t="s">
        <v>68</v>
      </c>
      <c r="C7" s="21" t="n">
        <v>4165</v>
      </c>
      <c r="D7" s="21" t="n">
        <v>4098</v>
      </c>
      <c r="E7" s="21" t="n">
        <v>4442</v>
      </c>
      <c r="F7" s="21" t="n">
        <v>4475</v>
      </c>
      <c r="G7" s="21" t="n">
        <v>4738</v>
      </c>
      <c r="H7" s="21" t="n">
        <v>5088</v>
      </c>
      <c r="I7" s="21" t="n">
        <v>5210</v>
      </c>
      <c r="J7" s="24"/>
      <c r="K7" s="24"/>
      <c r="L7" s="24"/>
      <c r="M7" s="24"/>
      <c r="N7" s="24"/>
      <c r="O7" s="22" t="n">
        <f aca="false">SUM(C7:N7)</f>
        <v>32216</v>
      </c>
    </row>
    <row r="8" customFormat="false" ht="15" hidden="false" customHeight="false" outlineLevel="0" collapsed="false">
      <c r="A8" s="9" t="s">
        <v>69</v>
      </c>
      <c r="B8" s="8" t="s">
        <v>66</v>
      </c>
      <c r="C8" s="21" t="n">
        <v>2520</v>
      </c>
      <c r="D8" s="21" t="n">
        <v>2490</v>
      </c>
      <c r="E8" s="21" t="n">
        <v>2628</v>
      </c>
      <c r="F8" s="21" t="n">
        <v>2712</v>
      </c>
      <c r="G8" s="21" t="n">
        <v>2808</v>
      </c>
      <c r="H8" s="21" t="n">
        <v>2940</v>
      </c>
      <c r="I8" s="21" t="n">
        <v>3030</v>
      </c>
      <c r="J8" s="21" t="n">
        <v>3072</v>
      </c>
      <c r="K8" s="21" t="n">
        <v>2988</v>
      </c>
      <c r="L8" s="21" t="n">
        <v>3120</v>
      </c>
      <c r="M8" s="21" t="n">
        <v>3270</v>
      </c>
      <c r="N8" s="21" t="n">
        <v>3432</v>
      </c>
      <c r="O8" s="22" t="n">
        <f aca="false">SUM(C8:N8)</f>
        <v>35010</v>
      </c>
    </row>
    <row r="9" customFormat="false" ht="15" hidden="false" customHeight="false" outlineLevel="0" collapsed="false">
      <c r="A9" s="9" t="s">
        <v>69</v>
      </c>
      <c r="B9" s="10" t="s">
        <v>67</v>
      </c>
      <c r="C9" s="21" t="n">
        <v>2550</v>
      </c>
      <c r="D9" s="21" t="n">
        <v>2515</v>
      </c>
      <c r="E9" s="21" t="n">
        <v>2680</v>
      </c>
      <c r="F9" s="21" t="n">
        <v>2740</v>
      </c>
      <c r="G9" s="21" t="n">
        <v>2860</v>
      </c>
      <c r="H9" s="21" t="n">
        <v>3060</v>
      </c>
      <c r="I9" s="21" t="n">
        <v>3140</v>
      </c>
      <c r="J9" s="21" t="n">
        <v>3180</v>
      </c>
      <c r="K9" s="21" t="n">
        <v>3090</v>
      </c>
      <c r="L9" s="21" t="n">
        <v>3240</v>
      </c>
      <c r="M9" s="21" t="n">
        <v>3380</v>
      </c>
      <c r="N9" s="21" t="n">
        <v>3550</v>
      </c>
      <c r="O9" s="22" t="n">
        <f aca="false">SUM(C9:N9)</f>
        <v>35985</v>
      </c>
    </row>
    <row r="10" customFormat="false" ht="15" hidden="false" customHeight="false" outlineLevel="0" collapsed="false">
      <c r="A10" s="9" t="s">
        <v>69</v>
      </c>
      <c r="B10" s="23" t="s">
        <v>68</v>
      </c>
      <c r="C10" s="21" t="n">
        <v>2578</v>
      </c>
      <c r="D10" s="21" t="n">
        <v>2532</v>
      </c>
      <c r="E10" s="21" t="n">
        <v>2710</v>
      </c>
      <c r="F10" s="21" t="n">
        <v>2765</v>
      </c>
      <c r="G10" s="21" t="n">
        <v>2895</v>
      </c>
      <c r="H10" s="21" t="n">
        <v>3122</v>
      </c>
      <c r="I10" s="21" t="n">
        <v>3188</v>
      </c>
      <c r="J10" s="24"/>
      <c r="K10" s="24"/>
      <c r="L10" s="24"/>
      <c r="M10" s="24"/>
      <c r="N10" s="24"/>
      <c r="O10" s="22" t="n">
        <f aca="false">SUM(C10:N10)</f>
        <v>19790</v>
      </c>
    </row>
    <row r="11" customFormat="false" ht="15" hidden="false" customHeight="false" outlineLevel="0" collapsed="false">
      <c r="A11" s="9" t="s">
        <v>70</v>
      </c>
      <c r="B11" s="10" t="s">
        <v>66</v>
      </c>
      <c r="C11" s="25" t="n">
        <f aca="false">C5-C8</f>
        <v>1680</v>
      </c>
      <c r="D11" s="25" t="n">
        <f aca="false">D5-D8</f>
        <v>1660</v>
      </c>
      <c r="E11" s="25" t="n">
        <f aca="false">E5-E8</f>
        <v>1752</v>
      </c>
      <c r="F11" s="25" t="n">
        <f aca="false">F5-F8</f>
        <v>1808</v>
      </c>
      <c r="G11" s="25" t="n">
        <f aca="false">G5-G8</f>
        <v>1872</v>
      </c>
      <c r="H11" s="25" t="n">
        <f aca="false">H5-H8</f>
        <v>1960</v>
      </c>
      <c r="I11" s="25" t="n">
        <f aca="false">I5-I8</f>
        <v>2020</v>
      </c>
      <c r="J11" s="25" t="n">
        <f aca="false">J5-J8</f>
        <v>2048</v>
      </c>
      <c r="K11" s="25" t="n">
        <f aca="false">K5-K8</f>
        <v>1992</v>
      </c>
      <c r="L11" s="25" t="n">
        <f aca="false">L5-L8</f>
        <v>2080</v>
      </c>
      <c r="M11" s="25" t="n">
        <f aca="false">M5-M8</f>
        <v>2180</v>
      </c>
      <c r="N11" s="25" t="n">
        <f aca="false">N5-N8</f>
        <v>2288</v>
      </c>
      <c r="O11" s="25" t="n">
        <f aca="false">O5-O8</f>
        <v>23340</v>
      </c>
    </row>
    <row r="12" customFormat="false" ht="15" hidden="false" customHeight="false" outlineLevel="0" collapsed="false">
      <c r="A12" s="9" t="s">
        <v>70</v>
      </c>
      <c r="B12" s="10" t="s">
        <v>67</v>
      </c>
      <c r="C12" s="25" t="n">
        <f aca="false">C6-C9</f>
        <v>1630</v>
      </c>
      <c r="D12" s="25" t="n">
        <f aca="false">D6-D9</f>
        <v>1605</v>
      </c>
      <c r="E12" s="25" t="n">
        <f aca="false">E6-E9</f>
        <v>1730</v>
      </c>
      <c r="F12" s="25" t="n">
        <f aca="false">F6-F9</f>
        <v>1750</v>
      </c>
      <c r="G12" s="25" t="n">
        <f aca="false">G6-G9</f>
        <v>1850</v>
      </c>
      <c r="H12" s="25" t="n">
        <f aca="false">H6-H9</f>
        <v>1960</v>
      </c>
      <c r="I12" s="25" t="n">
        <f aca="false">I6-I9</f>
        <v>2040</v>
      </c>
      <c r="J12" s="25" t="n">
        <f aca="false">J6-J9</f>
        <v>2060</v>
      </c>
      <c r="K12" s="25" t="n">
        <f aca="false">K6-K9</f>
        <v>2010</v>
      </c>
      <c r="L12" s="25" t="n">
        <f aca="false">L6-L9</f>
        <v>2110</v>
      </c>
      <c r="M12" s="25" t="n">
        <f aca="false">M6-M9</f>
        <v>2220</v>
      </c>
      <c r="N12" s="25" t="n">
        <f aca="false">N6-N9</f>
        <v>2330</v>
      </c>
      <c r="O12" s="25" t="n">
        <f aca="false">O6-O9</f>
        <v>23295</v>
      </c>
    </row>
    <row r="13" customFormat="false" ht="15" hidden="false" customHeight="false" outlineLevel="0" collapsed="false">
      <c r="A13" s="9" t="s">
        <v>70</v>
      </c>
      <c r="B13" s="10" t="s">
        <v>68</v>
      </c>
      <c r="C13" s="25" t="n">
        <f aca="false">C7-C10</f>
        <v>1587</v>
      </c>
      <c r="D13" s="25" t="n">
        <f aca="false">D7-D10</f>
        <v>1566</v>
      </c>
      <c r="E13" s="25" t="n">
        <f aca="false">E7-E10</f>
        <v>1732</v>
      </c>
      <c r="F13" s="25" t="n">
        <f aca="false">F7-F10</f>
        <v>1710</v>
      </c>
      <c r="G13" s="25" t="n">
        <f aca="false">G7-G10</f>
        <v>1843</v>
      </c>
      <c r="H13" s="25" t="n">
        <f aca="false">H7-H10</f>
        <v>1966</v>
      </c>
      <c r="I13" s="25" t="n">
        <f aca="false">I7-I10</f>
        <v>2022</v>
      </c>
      <c r="J13" s="25" t="n">
        <f aca="false">J7-J10</f>
        <v>0</v>
      </c>
      <c r="K13" s="25" t="n">
        <f aca="false">K7-K10</f>
        <v>0</v>
      </c>
      <c r="L13" s="25" t="n">
        <f aca="false">L7-L10</f>
        <v>0</v>
      </c>
      <c r="M13" s="25" t="n">
        <f aca="false">M7-M10</f>
        <v>0</v>
      </c>
      <c r="N13" s="25" t="n">
        <f aca="false">N7-N10</f>
        <v>0</v>
      </c>
      <c r="O13" s="25" t="n">
        <f aca="false">O7-O10</f>
        <v>12426</v>
      </c>
    </row>
    <row r="14" customFormat="false" ht="15" hidden="false" customHeight="false" outlineLevel="0" collapsed="false">
      <c r="A14" s="9" t="s">
        <v>71</v>
      </c>
      <c r="B14" s="8" t="s">
        <v>66</v>
      </c>
      <c r="C14" s="21" t="n">
        <v>980</v>
      </c>
      <c r="D14" s="21" t="n">
        <v>970</v>
      </c>
      <c r="E14" s="21" t="n">
        <v>990</v>
      </c>
      <c r="F14" s="21" t="n">
        <v>1005</v>
      </c>
      <c r="G14" s="21" t="n">
        <v>1020</v>
      </c>
      <c r="H14" s="21" t="n">
        <v>1040</v>
      </c>
      <c r="I14" s="21" t="n">
        <v>1055</v>
      </c>
      <c r="J14" s="21" t="n">
        <v>1060</v>
      </c>
      <c r="K14" s="21" t="n">
        <v>1045</v>
      </c>
      <c r="L14" s="21" t="n">
        <v>1070</v>
      </c>
      <c r="M14" s="21" t="n">
        <v>1100</v>
      </c>
      <c r="N14" s="21" t="n">
        <v>1140</v>
      </c>
      <c r="O14" s="22" t="n">
        <f aca="false">SUM(C14:N14)</f>
        <v>12475</v>
      </c>
    </row>
    <row r="15" customFormat="false" ht="15" hidden="false" customHeight="false" outlineLevel="0" collapsed="false">
      <c r="A15" s="9" t="s">
        <v>71</v>
      </c>
      <c r="B15" s="10" t="s">
        <v>67</v>
      </c>
      <c r="C15" s="21" t="n">
        <v>990</v>
      </c>
      <c r="D15" s="21" t="n">
        <v>985</v>
      </c>
      <c r="E15" s="21" t="n">
        <v>1005</v>
      </c>
      <c r="F15" s="21" t="n">
        <v>1010</v>
      </c>
      <c r="G15" s="21" t="n">
        <v>1035</v>
      </c>
      <c r="H15" s="21" t="n">
        <v>1060</v>
      </c>
      <c r="I15" s="21" t="n">
        <v>1075</v>
      </c>
      <c r="J15" s="21" t="n">
        <v>1080</v>
      </c>
      <c r="K15" s="21" t="n">
        <v>1065</v>
      </c>
      <c r="L15" s="21" t="n">
        <v>1090</v>
      </c>
      <c r="M15" s="21" t="n">
        <v>1125</v>
      </c>
      <c r="N15" s="21" t="n">
        <v>1160</v>
      </c>
      <c r="O15" s="22" t="n">
        <f aca="false">SUM(C15:N15)</f>
        <v>12680</v>
      </c>
    </row>
    <row r="16" customFormat="false" ht="15" hidden="false" customHeight="false" outlineLevel="0" collapsed="false">
      <c r="A16" s="9" t="s">
        <v>71</v>
      </c>
      <c r="B16" s="23" t="s">
        <v>68</v>
      </c>
      <c r="C16" s="21" t="n">
        <v>1002</v>
      </c>
      <c r="D16" s="21" t="n">
        <v>978</v>
      </c>
      <c r="E16" s="21" t="n">
        <v>1018</v>
      </c>
      <c r="F16" s="21" t="n">
        <v>1024</v>
      </c>
      <c r="G16" s="21" t="n">
        <v>1048</v>
      </c>
      <c r="H16" s="21" t="n">
        <v>1072</v>
      </c>
      <c r="I16" s="21" t="n">
        <v>1090</v>
      </c>
      <c r="J16" s="24"/>
      <c r="K16" s="24"/>
      <c r="L16" s="24"/>
      <c r="M16" s="24"/>
      <c r="N16" s="24"/>
      <c r="O16" s="22" t="n">
        <f aca="false">SUM(C16:N16)</f>
        <v>7232</v>
      </c>
    </row>
    <row r="17" customFormat="false" ht="15" hidden="false" customHeight="false" outlineLevel="0" collapsed="false">
      <c r="A17" s="9" t="s">
        <v>72</v>
      </c>
      <c r="B17" s="10" t="s">
        <v>66</v>
      </c>
      <c r="C17" s="25" t="n">
        <f aca="false">C11-C14</f>
        <v>700</v>
      </c>
      <c r="D17" s="25" t="n">
        <f aca="false">D11-D14</f>
        <v>690</v>
      </c>
      <c r="E17" s="25" t="n">
        <f aca="false">E11-E14</f>
        <v>762</v>
      </c>
      <c r="F17" s="25" t="n">
        <f aca="false">F11-F14</f>
        <v>803</v>
      </c>
      <c r="G17" s="25" t="n">
        <f aca="false">G11-G14</f>
        <v>852</v>
      </c>
      <c r="H17" s="25" t="n">
        <f aca="false">H11-H14</f>
        <v>920</v>
      </c>
      <c r="I17" s="25" t="n">
        <f aca="false">I11-I14</f>
        <v>965</v>
      </c>
      <c r="J17" s="25" t="n">
        <f aca="false">J11-J14</f>
        <v>988</v>
      </c>
      <c r="K17" s="25" t="n">
        <f aca="false">K11-K14</f>
        <v>947</v>
      </c>
      <c r="L17" s="25" t="n">
        <f aca="false">L11-L14</f>
        <v>1010</v>
      </c>
      <c r="M17" s="25" t="n">
        <f aca="false">M11-M14</f>
        <v>1080</v>
      </c>
      <c r="N17" s="25" t="n">
        <f aca="false">N11-N14</f>
        <v>1148</v>
      </c>
      <c r="O17" s="25" t="n">
        <f aca="false">O11-O14</f>
        <v>10865</v>
      </c>
    </row>
    <row r="18" customFormat="false" ht="15" hidden="false" customHeight="false" outlineLevel="0" collapsed="false">
      <c r="A18" s="9" t="s">
        <v>72</v>
      </c>
      <c r="B18" s="10" t="s">
        <v>67</v>
      </c>
      <c r="C18" s="25" t="n">
        <f aca="false">C12-C15</f>
        <v>640</v>
      </c>
      <c r="D18" s="25" t="n">
        <f aca="false">D12-D15</f>
        <v>620</v>
      </c>
      <c r="E18" s="25" t="n">
        <f aca="false">E12-E15</f>
        <v>725</v>
      </c>
      <c r="F18" s="25" t="n">
        <f aca="false">F12-F15</f>
        <v>740</v>
      </c>
      <c r="G18" s="25" t="n">
        <f aca="false">G12-G15</f>
        <v>815</v>
      </c>
      <c r="H18" s="25" t="n">
        <f aca="false">H12-H15</f>
        <v>900</v>
      </c>
      <c r="I18" s="25" t="n">
        <f aca="false">I12-I15</f>
        <v>965</v>
      </c>
      <c r="J18" s="25" t="n">
        <f aca="false">J12-J15</f>
        <v>980</v>
      </c>
      <c r="K18" s="25" t="n">
        <f aca="false">K12-K15</f>
        <v>945</v>
      </c>
      <c r="L18" s="25" t="n">
        <f aca="false">L12-L15</f>
        <v>1020</v>
      </c>
      <c r="M18" s="25" t="n">
        <f aca="false">M12-M15</f>
        <v>1095</v>
      </c>
      <c r="N18" s="25" t="n">
        <f aca="false">N12-N15</f>
        <v>1170</v>
      </c>
      <c r="O18" s="25" t="n">
        <f aca="false">O12-O15</f>
        <v>10615</v>
      </c>
    </row>
    <row r="19" customFormat="false" ht="15" hidden="false" customHeight="false" outlineLevel="0" collapsed="false">
      <c r="A19" s="9" t="s">
        <v>72</v>
      </c>
      <c r="B19" s="10" t="s">
        <v>68</v>
      </c>
      <c r="C19" s="25" t="n">
        <f aca="false">C13-C16</f>
        <v>585</v>
      </c>
      <c r="D19" s="25" t="n">
        <f aca="false">D13-D16</f>
        <v>588</v>
      </c>
      <c r="E19" s="25" t="n">
        <f aca="false">E13-E16</f>
        <v>714</v>
      </c>
      <c r="F19" s="25" t="n">
        <f aca="false">F13-F16</f>
        <v>686</v>
      </c>
      <c r="G19" s="25" t="n">
        <f aca="false">G13-G16</f>
        <v>795</v>
      </c>
      <c r="H19" s="25" t="n">
        <f aca="false">H13-H16</f>
        <v>894</v>
      </c>
      <c r="I19" s="25" t="n">
        <f aca="false">I13-I16</f>
        <v>932</v>
      </c>
      <c r="J19" s="25" t="n">
        <f aca="false">J13-J16</f>
        <v>0</v>
      </c>
      <c r="K19" s="25" t="n">
        <f aca="false">K13-K16</f>
        <v>0</v>
      </c>
      <c r="L19" s="25" t="n">
        <f aca="false">L13-L16</f>
        <v>0</v>
      </c>
      <c r="M19" s="25" t="n">
        <f aca="false">M13-M16</f>
        <v>0</v>
      </c>
      <c r="N19" s="25" t="n">
        <f aca="false">N13-N16</f>
        <v>0</v>
      </c>
      <c r="O19" s="25" t="n">
        <f aca="false">O13-O16</f>
        <v>5194</v>
      </c>
    </row>
    <row r="20" customFormat="false" ht="15" hidden="false" customHeight="false" outlineLevel="0" collapsed="false">
      <c r="A20" s="9" t="s">
        <v>73</v>
      </c>
      <c r="B20" s="10" t="s">
        <v>66</v>
      </c>
      <c r="C20" s="26" t="n">
        <f aca="false">IF(OR(C5="",C5=0),"",C11/C5)</f>
        <v>0.4</v>
      </c>
      <c r="D20" s="26" t="n">
        <f aca="false">IF(OR(D5="",D5=0),"",D11/D5)</f>
        <v>0.4</v>
      </c>
      <c r="E20" s="26" t="n">
        <f aca="false">IF(OR(E5="",E5=0),"",E11/E5)</f>
        <v>0.4</v>
      </c>
      <c r="F20" s="26" t="n">
        <f aca="false">IF(OR(F5="",F5=0),"",F11/F5)</f>
        <v>0.4</v>
      </c>
      <c r="G20" s="26" t="n">
        <f aca="false">IF(OR(G5="",G5=0),"",G11/G5)</f>
        <v>0.4</v>
      </c>
      <c r="H20" s="26" t="n">
        <f aca="false">IF(OR(H5="",H5=0),"",H11/H5)</f>
        <v>0.4</v>
      </c>
      <c r="I20" s="26" t="n">
        <f aca="false">IF(OR(I5="",I5=0),"",I11/I5)</f>
        <v>0.4</v>
      </c>
      <c r="J20" s="26" t="n">
        <f aca="false">IF(OR(J5="",J5=0),"",J11/J5)</f>
        <v>0.4</v>
      </c>
      <c r="K20" s="26" t="n">
        <f aca="false">IF(OR(K5="",K5=0),"",K11/K5)</f>
        <v>0.4</v>
      </c>
      <c r="L20" s="26" t="n">
        <f aca="false">IF(OR(L5="",L5=0),"",L11/L5)</f>
        <v>0.4</v>
      </c>
      <c r="M20" s="26" t="n">
        <f aca="false">IF(OR(M5="",M5=0),"",M11/M5)</f>
        <v>0.4</v>
      </c>
      <c r="N20" s="26" t="n">
        <f aca="false">IF(OR(N5="",N5=0),"",N11/N5)</f>
        <v>0.4</v>
      </c>
      <c r="O20" s="26" t="n">
        <f aca="false">IF(OR(O5="",O5=0),"",O11/O5)</f>
        <v>0.4</v>
      </c>
    </row>
    <row r="21" customFormat="false" ht="15" hidden="false" customHeight="false" outlineLevel="0" collapsed="false">
      <c r="A21" s="9" t="s">
        <v>73</v>
      </c>
      <c r="B21" s="10" t="s">
        <v>67</v>
      </c>
      <c r="C21" s="26" t="n">
        <f aca="false">IF(OR(C6="",C6=0),"",C12/C6)</f>
        <v>0.389952153110048</v>
      </c>
      <c r="D21" s="26" t="n">
        <f aca="false">IF(OR(D6="",D6=0),"",D12/D6)</f>
        <v>0.389563106796117</v>
      </c>
      <c r="E21" s="26" t="n">
        <f aca="false">IF(OR(E6="",E6=0),"",E12/E6)</f>
        <v>0.392290249433107</v>
      </c>
      <c r="F21" s="26" t="n">
        <f aca="false">IF(OR(F6="",F6=0),"",F12/F6)</f>
        <v>0.389755011135858</v>
      </c>
      <c r="G21" s="26" t="n">
        <f aca="false">IF(OR(G6="",G6=0),"",G12/G6)</f>
        <v>0.392781316348195</v>
      </c>
      <c r="H21" s="26" t="n">
        <f aca="false">IF(OR(H6="",H6=0),"",H12/H6)</f>
        <v>0.390438247011952</v>
      </c>
      <c r="I21" s="26" t="n">
        <f aca="false">IF(OR(I6="",I6=0),"",I12/I6)</f>
        <v>0.393822393822394</v>
      </c>
      <c r="J21" s="26" t="n">
        <f aca="false">IF(OR(J6="",J6=0),"",J12/J6)</f>
        <v>0.393129770992366</v>
      </c>
      <c r="K21" s="26" t="n">
        <f aca="false">IF(OR(K6="",K6=0),"",K12/K6)</f>
        <v>0.394117647058824</v>
      </c>
      <c r="L21" s="26" t="n">
        <f aca="false">IF(OR(L6="",L6=0),"",L12/L6)</f>
        <v>0.394392523364486</v>
      </c>
      <c r="M21" s="26" t="n">
        <f aca="false">IF(OR(M6="",M6=0),"",M12/M6)</f>
        <v>0.396428571428571</v>
      </c>
      <c r="N21" s="26" t="n">
        <f aca="false">IF(OR(N6="",N6=0),"",N12/N6)</f>
        <v>0.396258503401361</v>
      </c>
      <c r="O21" s="26" t="n">
        <f aca="false">IF(OR(O6="",O6=0),"",O12/O6)</f>
        <v>0.392965587044534</v>
      </c>
    </row>
    <row r="22" customFormat="false" ht="15" hidden="false" customHeight="false" outlineLevel="0" collapsed="false">
      <c r="A22" s="9" t="s">
        <v>73</v>
      </c>
      <c r="B22" s="10" t="s">
        <v>68</v>
      </c>
      <c r="C22" s="26" t="n">
        <f aca="false">IF(OR(C7="",C7=0),"",C13/C7)</f>
        <v>0.381032412965186</v>
      </c>
      <c r="D22" s="26" t="n">
        <f aca="false">IF(OR(D7="",D7=0),"",D13/D7)</f>
        <v>0.382137628111274</v>
      </c>
      <c r="E22" s="26" t="n">
        <f aca="false">IF(OR(E7="",E7=0),"",E13/E7)</f>
        <v>0.389914452949122</v>
      </c>
      <c r="F22" s="26" t="n">
        <f aca="false">IF(OR(F7="",F7=0),"",F13/F7)</f>
        <v>0.382122905027933</v>
      </c>
      <c r="G22" s="26" t="n">
        <f aca="false">IF(OR(G7="",G7=0),"",G13/G7)</f>
        <v>0.38898269311946</v>
      </c>
      <c r="H22" s="26" t="n">
        <f aca="false">IF(OR(H7="",H7=0),"",H13/H7)</f>
        <v>0.386399371069182</v>
      </c>
      <c r="I22" s="26" t="n">
        <f aca="false">IF(OR(I7="",I7=0),"",I13/I7)</f>
        <v>0.38809980806142</v>
      </c>
      <c r="J22" s="26" t="str">
        <f aca="false">IF(OR(J7="",J7=0),"",J13/J7)</f>
        <v/>
      </c>
      <c r="K22" s="26" t="str">
        <f aca="false">IF(OR(K7="",K7=0),"",K13/K7)</f>
        <v/>
      </c>
      <c r="L22" s="26" t="str">
        <f aca="false">IF(OR(L7="",L7=0),"",L13/L7)</f>
        <v/>
      </c>
      <c r="M22" s="26" t="str">
        <f aca="false">IF(OR(M7="",M7=0),"",M13/M7)</f>
        <v/>
      </c>
      <c r="N22" s="26" t="str">
        <f aca="false">IF(OR(N7="",N7=0),"",N13/N7)</f>
        <v/>
      </c>
      <c r="O22" s="26" t="n">
        <f aca="false">IF(OR(O7="",O7=0),"",O13/O7)</f>
        <v>0.385708964489695</v>
      </c>
    </row>
    <row r="23" customFormat="false" ht="15" hidden="false" customHeight="false" outlineLevel="0" collapsed="false">
      <c r="A23" s="9" t="s">
        <v>74</v>
      </c>
      <c r="B23" s="10" t="s">
        <v>66</v>
      </c>
      <c r="C23" s="26" t="n">
        <f aca="false">IF(OR(C5="",C5=0),"",C8/C5)</f>
        <v>0.6</v>
      </c>
      <c r="D23" s="26" t="n">
        <f aca="false">IF(OR(D5="",D5=0),"",D8/D5)</f>
        <v>0.6</v>
      </c>
      <c r="E23" s="26" t="n">
        <f aca="false">IF(OR(E5="",E5=0),"",E8/E5)</f>
        <v>0.6</v>
      </c>
      <c r="F23" s="26" t="n">
        <f aca="false">IF(OR(F5="",F5=0),"",F8/F5)</f>
        <v>0.6</v>
      </c>
      <c r="G23" s="26" t="n">
        <f aca="false">IF(OR(G5="",G5=0),"",G8/G5)</f>
        <v>0.6</v>
      </c>
      <c r="H23" s="26" t="n">
        <f aca="false">IF(OR(H5="",H5=0),"",H8/H5)</f>
        <v>0.6</v>
      </c>
      <c r="I23" s="26" t="n">
        <f aca="false">IF(OR(I5="",I5=0),"",I8/I5)</f>
        <v>0.6</v>
      </c>
      <c r="J23" s="26" t="n">
        <f aca="false">IF(OR(J5="",J5=0),"",J8/J5)</f>
        <v>0.6</v>
      </c>
      <c r="K23" s="26" t="n">
        <f aca="false">IF(OR(K5="",K5=0),"",K8/K5)</f>
        <v>0.6</v>
      </c>
      <c r="L23" s="26" t="n">
        <f aca="false">IF(OR(L5="",L5=0),"",L8/L5)</f>
        <v>0.6</v>
      </c>
      <c r="M23" s="26" t="n">
        <f aca="false">IF(OR(M5="",M5=0),"",M8/M5)</f>
        <v>0.6</v>
      </c>
      <c r="N23" s="26" t="n">
        <f aca="false">IF(OR(N5="",N5=0),"",N8/N5)</f>
        <v>0.6</v>
      </c>
      <c r="O23" s="26" t="n">
        <f aca="false">IF(OR(O5="",O5=0),"",O8/O5)</f>
        <v>0.6</v>
      </c>
    </row>
    <row r="24" customFormat="false" ht="15" hidden="false" customHeight="false" outlineLevel="0" collapsed="false">
      <c r="A24" s="9" t="s">
        <v>74</v>
      </c>
      <c r="B24" s="10" t="s">
        <v>67</v>
      </c>
      <c r="C24" s="26" t="n">
        <f aca="false">IF(OR(C6="",C6=0),"",C9/C6)</f>
        <v>0.610047846889952</v>
      </c>
      <c r="D24" s="26" t="n">
        <f aca="false">IF(OR(D6="",D6=0),"",D9/D6)</f>
        <v>0.610436893203884</v>
      </c>
      <c r="E24" s="26" t="n">
        <f aca="false">IF(OR(E6="",E6=0),"",E9/E6)</f>
        <v>0.607709750566894</v>
      </c>
      <c r="F24" s="26" t="n">
        <f aca="false">IF(OR(F6="",F6=0),"",F9/F6)</f>
        <v>0.610244988864143</v>
      </c>
      <c r="G24" s="26" t="n">
        <f aca="false">IF(OR(G6="",G6=0),"",G9/G6)</f>
        <v>0.607218683651805</v>
      </c>
      <c r="H24" s="26" t="n">
        <f aca="false">IF(OR(H6="",H6=0),"",H9/H6)</f>
        <v>0.609561752988048</v>
      </c>
      <c r="I24" s="26" t="n">
        <f aca="false">IF(OR(I6="",I6=0),"",I9/I6)</f>
        <v>0.606177606177606</v>
      </c>
      <c r="J24" s="26" t="n">
        <f aca="false">IF(OR(J6="",J6=0),"",J9/J6)</f>
        <v>0.606870229007634</v>
      </c>
      <c r="K24" s="26" t="n">
        <f aca="false">IF(OR(K6="",K6=0),"",K9/K6)</f>
        <v>0.605882352941176</v>
      </c>
      <c r="L24" s="26" t="n">
        <f aca="false">IF(OR(L6="",L6=0),"",L9/L6)</f>
        <v>0.605607476635514</v>
      </c>
      <c r="M24" s="26" t="n">
        <f aca="false">IF(OR(M6="",M6=0),"",M9/M6)</f>
        <v>0.603571428571429</v>
      </c>
      <c r="N24" s="26" t="n">
        <f aca="false">IF(OR(N6="",N6=0),"",N9/N6)</f>
        <v>0.603741496598639</v>
      </c>
      <c r="O24" s="26" t="n">
        <f aca="false">IF(OR(O6="",O6=0),"",O9/O6)</f>
        <v>0.607034412955466</v>
      </c>
    </row>
    <row r="25" customFormat="false" ht="15" hidden="false" customHeight="false" outlineLevel="0" collapsed="false">
      <c r="A25" s="9" t="s">
        <v>74</v>
      </c>
      <c r="B25" s="10" t="s">
        <v>68</v>
      </c>
      <c r="C25" s="26" t="n">
        <f aca="false">IF(OR(C7="",C7=0),"",C10/C7)</f>
        <v>0.618967587034814</v>
      </c>
      <c r="D25" s="26" t="n">
        <f aca="false">IF(OR(D7="",D7=0),"",D10/D7)</f>
        <v>0.617862371888726</v>
      </c>
      <c r="E25" s="26" t="n">
        <f aca="false">IF(OR(E7="",E7=0),"",E10/E7)</f>
        <v>0.610085547050878</v>
      </c>
      <c r="F25" s="26" t="n">
        <f aca="false">IF(OR(F7="",F7=0),"",F10/F7)</f>
        <v>0.617877094972067</v>
      </c>
      <c r="G25" s="26" t="n">
        <f aca="false">IF(OR(G7="",G7=0),"",G10/G7)</f>
        <v>0.61101730688054</v>
      </c>
      <c r="H25" s="26" t="n">
        <f aca="false">IF(OR(H7="",H7=0),"",H10/H7)</f>
        <v>0.613600628930818</v>
      </c>
      <c r="I25" s="26" t="n">
        <f aca="false">IF(OR(I7="",I7=0),"",I10/I7)</f>
        <v>0.61190019193858</v>
      </c>
      <c r="J25" s="26" t="str">
        <f aca="false">IF(OR(J7="",J7=0),"",J10/J7)</f>
        <v/>
      </c>
      <c r="K25" s="26" t="str">
        <f aca="false">IF(OR(K7="",K7=0),"",K10/K7)</f>
        <v/>
      </c>
      <c r="L25" s="26" t="str">
        <f aca="false">IF(OR(L7="",L7=0),"",L10/L7)</f>
        <v/>
      </c>
      <c r="M25" s="26" t="str">
        <f aca="false">IF(OR(M7="",M7=0),"",M10/M7)</f>
        <v/>
      </c>
      <c r="N25" s="26" t="str">
        <f aca="false">IF(OR(N7="",N7=0),"",N10/N7)</f>
        <v/>
      </c>
      <c r="O25" s="26" t="n">
        <f aca="false">IF(OR(O7="",O7=0),"",O10/O7)</f>
        <v>0.614291035510305</v>
      </c>
    </row>
    <row r="27" customFormat="false" ht="15" hidden="false" customHeight="false" outlineLevel="0" collapsed="false">
      <c r="A27" s="3" t="s">
        <v>75</v>
      </c>
      <c r="B27" s="3"/>
      <c r="C27" s="3"/>
      <c r="D27" s="3"/>
      <c r="E27" s="3"/>
      <c r="F27" s="3"/>
      <c r="G27" s="3"/>
      <c r="H27" s="3"/>
      <c r="I27" s="3"/>
      <c r="J27" s="3"/>
      <c r="K27" s="3"/>
      <c r="L27" s="3"/>
      <c r="M27" s="3"/>
      <c r="N27" s="3"/>
      <c r="O27" s="3"/>
    </row>
  </sheetData>
  <mergeCells count="2">
    <mergeCell ref="A1:O1"/>
    <mergeCell ref="A27:O27"/>
  </mergeCells>
  <printOptions headings="false" gridLines="false" gridLinesSet="true" horizontalCentered="true" verticalCentered="false"/>
  <pageMargins left="0.75" right="0.75" top="1" bottom="1"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6"/>
    <col collapsed="false" customWidth="true" hidden="false" outlineLevel="0" max="6" min="6" style="0" width="14"/>
    <col collapsed="false" customWidth="true" hidden="false" outlineLevel="0" max="7" min="7" style="0" width="16"/>
  </cols>
  <sheetData>
    <row r="1" customFormat="false" ht="24.45" hidden="false" customHeight="false" outlineLevel="0" collapsed="false">
      <c r="A1" s="1" t="s">
        <v>76</v>
      </c>
      <c r="B1" s="1"/>
      <c r="C1" s="1"/>
      <c r="D1" s="1"/>
      <c r="E1" s="1"/>
      <c r="F1" s="1"/>
      <c r="G1" s="1"/>
    </row>
    <row r="2" customFormat="false" ht="15" hidden="false" customHeight="false" outlineLevel="0" collapsed="false">
      <c r="A2" s="16" t="s">
        <v>77</v>
      </c>
    </row>
    <row r="4" customFormat="false" ht="16.15" hidden="false" customHeight="false" outlineLevel="0" collapsed="false">
      <c r="A4" s="4" t="s">
        <v>78</v>
      </c>
    </row>
    <row r="5" customFormat="false" ht="15" hidden="false" customHeight="false" outlineLevel="0" collapsed="false">
      <c r="A5" s="6" t="s">
        <v>50</v>
      </c>
      <c r="B5" s="6" t="s">
        <v>79</v>
      </c>
      <c r="C5" s="6" t="s">
        <v>80</v>
      </c>
      <c r="D5" s="6" t="s">
        <v>81</v>
      </c>
      <c r="E5" s="6" t="s">
        <v>82</v>
      </c>
      <c r="F5" s="6" t="s">
        <v>83</v>
      </c>
      <c r="G5" s="6" t="s">
        <v>84</v>
      </c>
    </row>
    <row r="6" customFormat="false" ht="15" hidden="false" customHeight="false" outlineLevel="0" collapsed="false">
      <c r="A6" s="9" t="s">
        <v>65</v>
      </c>
      <c r="B6" s="25" t="n">
        <f aca="false">SUMPRODUCT(('02_P&amp;L_Monthly'!C7:N7)*(COLUMN('02_P&amp;L_Monthly'!C7:N7)-COLUMN('02_P&amp;L_Monthly'!C7)+1&lt;=01_Assumptions!$C$7))</f>
        <v>32216</v>
      </c>
      <c r="C6" s="25" t="n">
        <f aca="false">SUMPRODUCT(('02_P&amp;L_Monthly'!C5:N5)*(COLUMN('02_P&amp;L_Monthly'!C5:N5)-COLUMN('02_P&amp;L_Monthly'!C5)+1&lt;=01_Assumptions!$C$7))</f>
        <v>31880</v>
      </c>
      <c r="D6" s="25" t="n">
        <f aca="false">SUMPRODUCT(('02_P&amp;L_Monthly'!C6:N6)*(COLUMN('02_P&amp;L_Monthly'!C6:N6)-COLUMN('02_P&amp;L_Monthly'!C6)+1&lt;=01_Assumptions!$C$7))</f>
        <v>32110</v>
      </c>
      <c r="E6" s="25" t="n">
        <f aca="false">B6-C6</f>
        <v>336</v>
      </c>
      <c r="F6" s="26" t="n">
        <f aca="false">IF(C6=0,NA(),E6/C6)</f>
        <v>0.0105395232120452</v>
      </c>
      <c r="G6" s="25" t="n">
        <f aca="false">B6-D6</f>
        <v>106</v>
      </c>
    </row>
    <row r="7" customFormat="false" ht="15" hidden="false" customHeight="false" outlineLevel="0" collapsed="false">
      <c r="A7" s="9" t="s">
        <v>69</v>
      </c>
      <c r="B7" s="25" t="n">
        <f aca="false">SUMPRODUCT(('02_P&amp;L_Monthly'!C10:N10)*(COLUMN('02_P&amp;L_Monthly'!C10:N10)-COLUMN('02_P&amp;L_Monthly'!C10)+1&lt;=01_Assumptions!$C$7))</f>
        <v>19790</v>
      </c>
      <c r="C7" s="25" t="n">
        <f aca="false">SUMPRODUCT(('02_P&amp;L_Monthly'!C8:N8)*(COLUMN('02_P&amp;L_Monthly'!C8:N8)-COLUMN('02_P&amp;L_Monthly'!C8)+1&lt;=01_Assumptions!$C$7))</f>
        <v>19128</v>
      </c>
      <c r="D7" s="25" t="n">
        <f aca="false">SUMPRODUCT(('02_P&amp;L_Monthly'!C9:N9)*(COLUMN('02_P&amp;L_Monthly'!C9:N9)-COLUMN('02_P&amp;L_Monthly'!C9)+1&lt;=01_Assumptions!$C$7))</f>
        <v>19545</v>
      </c>
      <c r="E7" s="25" t="n">
        <f aca="false">B7-C7</f>
        <v>662</v>
      </c>
      <c r="F7" s="26" t="n">
        <f aca="false">IF(C7=0,NA(),E7/C7)</f>
        <v>0.0346089502300293</v>
      </c>
      <c r="G7" s="25" t="n">
        <f aca="false">B7-D7</f>
        <v>245</v>
      </c>
    </row>
    <row r="8" customFormat="false" ht="15" hidden="false" customHeight="false" outlineLevel="0" collapsed="false">
      <c r="A8" s="9" t="s">
        <v>70</v>
      </c>
      <c r="B8" s="25" t="n">
        <f aca="false">SUMPRODUCT(('02_P&amp;L_Monthly'!C13:N13)*(COLUMN('02_P&amp;L_Monthly'!C13:N13)-COLUMN('02_P&amp;L_Monthly'!C13)+1&lt;=01_Assumptions!$C$7))</f>
        <v>12426</v>
      </c>
      <c r="C8" s="25" t="n">
        <f aca="false">SUMPRODUCT(('02_P&amp;L_Monthly'!C11:N11)*(COLUMN('02_P&amp;L_Monthly'!C11:N11)-COLUMN('02_P&amp;L_Monthly'!C11)+1&lt;=01_Assumptions!$C$7))</f>
        <v>12752</v>
      </c>
      <c r="D8" s="25" t="n">
        <f aca="false">SUMPRODUCT(('02_P&amp;L_Monthly'!C12:N12)*(COLUMN('02_P&amp;L_Monthly'!C12:N12)-COLUMN('02_P&amp;L_Monthly'!C12)+1&lt;=01_Assumptions!$C$7))</f>
        <v>12565</v>
      </c>
      <c r="E8" s="25" t="n">
        <f aca="false">B8-C8</f>
        <v>-326</v>
      </c>
      <c r="F8" s="26" t="n">
        <f aca="false">IF(C8=0,NA(),E8/C8)</f>
        <v>-0.025564617314931</v>
      </c>
      <c r="G8" s="25" t="n">
        <f aca="false">B8-D8</f>
        <v>-139</v>
      </c>
    </row>
    <row r="9" customFormat="false" ht="15" hidden="false" customHeight="false" outlineLevel="0" collapsed="false">
      <c r="A9" s="9" t="s">
        <v>71</v>
      </c>
      <c r="B9" s="25" t="n">
        <f aca="false">SUMPRODUCT(('02_P&amp;L_Monthly'!C16:N16)*(COLUMN('02_P&amp;L_Monthly'!C16:N16)-COLUMN('02_P&amp;L_Monthly'!C16)+1&lt;=01_Assumptions!$C$7))</f>
        <v>7232</v>
      </c>
      <c r="C9" s="25" t="n">
        <f aca="false">SUMPRODUCT(('02_P&amp;L_Monthly'!C14:N14)*(COLUMN('02_P&amp;L_Monthly'!C14:N14)-COLUMN('02_P&amp;L_Monthly'!C14)+1&lt;=01_Assumptions!$C$7))</f>
        <v>7060</v>
      </c>
      <c r="D9" s="25" t="n">
        <f aca="false">SUMPRODUCT(('02_P&amp;L_Monthly'!C15:N15)*(COLUMN('02_P&amp;L_Monthly'!C15:N15)-COLUMN('02_P&amp;L_Monthly'!C15)+1&lt;=01_Assumptions!$C$7))</f>
        <v>7160</v>
      </c>
      <c r="E9" s="25" t="n">
        <f aca="false">B9-C9</f>
        <v>172</v>
      </c>
      <c r="F9" s="26" t="n">
        <f aca="false">IF(C9=0,NA(),E9/C9)</f>
        <v>0.0243626062322946</v>
      </c>
      <c r="G9" s="25" t="n">
        <f aca="false">B9-D9</f>
        <v>72</v>
      </c>
    </row>
    <row r="10" customFormat="false" ht="15" hidden="false" customHeight="false" outlineLevel="0" collapsed="false">
      <c r="A10" s="9" t="s">
        <v>72</v>
      </c>
      <c r="B10" s="25" t="n">
        <f aca="false">SUMPRODUCT(('02_P&amp;L_Monthly'!C19:N19)*(COLUMN('02_P&amp;L_Monthly'!C19:N19)-COLUMN('02_P&amp;L_Monthly'!C19)+1&lt;=01_Assumptions!$C$7))</f>
        <v>5194</v>
      </c>
      <c r="C10" s="25" t="n">
        <f aca="false">SUMPRODUCT(('02_P&amp;L_Monthly'!C17:N17)*(COLUMN('02_P&amp;L_Monthly'!C17:N17)-COLUMN('02_P&amp;L_Monthly'!C17)+1&lt;=01_Assumptions!$C$7))</f>
        <v>5692</v>
      </c>
      <c r="D10" s="25" t="n">
        <f aca="false">SUMPRODUCT(('02_P&amp;L_Monthly'!C18:N18)*(COLUMN('02_P&amp;L_Monthly'!C18:N18)-COLUMN('02_P&amp;L_Monthly'!C18)+1&lt;=01_Assumptions!$C$7))</f>
        <v>5405</v>
      </c>
      <c r="E10" s="25" t="n">
        <f aca="false">B10-C10</f>
        <v>-498</v>
      </c>
      <c r="F10" s="26" t="n">
        <f aca="false">IF(C10=0,NA(),E10/C10)</f>
        <v>-0.0874912157413914</v>
      </c>
      <c r="G10" s="25" t="n">
        <f aca="false">B10-D10</f>
        <v>-211</v>
      </c>
    </row>
    <row r="12" customFormat="false" ht="16.15" hidden="false" customHeight="false" outlineLevel="0" collapsed="false">
      <c r="A12" s="4" t="s">
        <v>85</v>
      </c>
    </row>
    <row r="13" customFormat="false" ht="15" hidden="false" customHeight="false" outlineLevel="0" collapsed="false">
      <c r="A13" s="6" t="s">
        <v>50</v>
      </c>
      <c r="B13" s="6" t="s">
        <v>68</v>
      </c>
      <c r="C13" s="6" t="s">
        <v>66</v>
      </c>
      <c r="D13" s="6" t="s">
        <v>67</v>
      </c>
      <c r="E13" s="6" t="s">
        <v>82</v>
      </c>
      <c r="F13" s="6" t="s">
        <v>83</v>
      </c>
      <c r="G13" s="6" t="s">
        <v>84</v>
      </c>
    </row>
    <row r="14" customFormat="false" ht="15" hidden="false" customHeight="false" outlineLevel="0" collapsed="false">
      <c r="A14" s="9" t="s">
        <v>65</v>
      </c>
      <c r="B14" s="25" t="n">
        <f aca="false">INDEX('02_P&amp;L_Monthly'!C7:N7,01_Assumptions!$C$7)</f>
        <v>5210</v>
      </c>
      <c r="C14" s="25" t="n">
        <f aca="false">INDEX('02_P&amp;L_Monthly'!C5:N5,01_Assumptions!$C$7)</f>
        <v>5050</v>
      </c>
      <c r="D14" s="25" t="n">
        <f aca="false">INDEX('02_P&amp;L_Monthly'!C6:N6,01_Assumptions!$C$7)</f>
        <v>5180</v>
      </c>
      <c r="E14" s="25" t="n">
        <f aca="false">B14-C14</f>
        <v>160</v>
      </c>
      <c r="F14" s="26" t="n">
        <f aca="false">IF(C14=0,NA(),E14/C14)</f>
        <v>0.0316831683168317</v>
      </c>
      <c r="G14" s="25" t="n">
        <f aca="false">B14-D14</f>
        <v>30</v>
      </c>
    </row>
    <row r="15" customFormat="false" ht="15" hidden="false" customHeight="false" outlineLevel="0" collapsed="false">
      <c r="A15" s="9" t="s">
        <v>69</v>
      </c>
      <c r="B15" s="25" t="n">
        <f aca="false">INDEX('02_P&amp;L_Monthly'!C10:N10,01_Assumptions!$C$7)</f>
        <v>3188</v>
      </c>
      <c r="C15" s="25" t="n">
        <f aca="false">INDEX('02_P&amp;L_Monthly'!C8:N8,01_Assumptions!$C$7)</f>
        <v>3030</v>
      </c>
      <c r="D15" s="25" t="n">
        <f aca="false">INDEX('02_P&amp;L_Monthly'!C9:N9,01_Assumptions!$C$7)</f>
        <v>3140</v>
      </c>
      <c r="E15" s="25" t="n">
        <f aca="false">B15-C15</f>
        <v>158</v>
      </c>
      <c r="F15" s="26" t="n">
        <f aca="false">IF(C15=0,NA(),E15/C15)</f>
        <v>0.0521452145214522</v>
      </c>
      <c r="G15" s="25" t="n">
        <f aca="false">B15-D15</f>
        <v>48</v>
      </c>
    </row>
    <row r="16" customFormat="false" ht="15" hidden="false" customHeight="false" outlineLevel="0" collapsed="false">
      <c r="A16" s="9" t="s">
        <v>70</v>
      </c>
      <c r="B16" s="25" t="n">
        <f aca="false">INDEX('02_P&amp;L_Monthly'!C13:N13,01_Assumptions!$C$7)</f>
        <v>2022</v>
      </c>
      <c r="C16" s="25" t="n">
        <f aca="false">INDEX('02_P&amp;L_Monthly'!C11:N11,01_Assumptions!$C$7)</f>
        <v>2020</v>
      </c>
      <c r="D16" s="25" t="n">
        <f aca="false">INDEX('02_P&amp;L_Monthly'!C12:N12,01_Assumptions!$C$7)</f>
        <v>2040</v>
      </c>
      <c r="E16" s="25" t="n">
        <f aca="false">B16-C16</f>
        <v>2</v>
      </c>
      <c r="F16" s="26" t="n">
        <f aca="false">IF(C16=0,NA(),E16/C16)</f>
        <v>0.00099009900990099</v>
      </c>
      <c r="G16" s="25" t="n">
        <f aca="false">B16-D16</f>
        <v>-18</v>
      </c>
    </row>
    <row r="17" customFormat="false" ht="15" hidden="false" customHeight="false" outlineLevel="0" collapsed="false">
      <c r="A17" s="9" t="s">
        <v>71</v>
      </c>
      <c r="B17" s="25" t="n">
        <f aca="false">INDEX('02_P&amp;L_Monthly'!C16:N16,01_Assumptions!$C$7)</f>
        <v>1090</v>
      </c>
      <c r="C17" s="25" t="n">
        <f aca="false">INDEX('02_P&amp;L_Monthly'!C14:N14,01_Assumptions!$C$7)</f>
        <v>1055</v>
      </c>
      <c r="D17" s="25" t="n">
        <f aca="false">INDEX('02_P&amp;L_Monthly'!C15:N15,01_Assumptions!$C$7)</f>
        <v>1075</v>
      </c>
      <c r="E17" s="25" t="n">
        <f aca="false">B17-C17</f>
        <v>35</v>
      </c>
      <c r="F17" s="26" t="n">
        <f aca="false">IF(C17=0,NA(),E17/C17)</f>
        <v>0.033175355450237</v>
      </c>
      <c r="G17" s="25" t="n">
        <f aca="false">B17-D17</f>
        <v>15</v>
      </c>
    </row>
    <row r="18" customFormat="false" ht="15" hidden="false" customHeight="false" outlineLevel="0" collapsed="false">
      <c r="A18" s="9" t="s">
        <v>72</v>
      </c>
      <c r="B18" s="25" t="n">
        <f aca="false">INDEX('02_P&amp;L_Monthly'!C19:N19,01_Assumptions!$C$7)</f>
        <v>932</v>
      </c>
      <c r="C18" s="25" t="n">
        <f aca="false">INDEX('02_P&amp;L_Monthly'!C17:N17,01_Assumptions!$C$7)</f>
        <v>965</v>
      </c>
      <c r="D18" s="25" t="n">
        <f aca="false">INDEX('02_P&amp;L_Monthly'!C18:N18,01_Assumptions!$C$7)</f>
        <v>965</v>
      </c>
      <c r="E18" s="25" t="n">
        <f aca="false">B18-C18</f>
        <v>-33</v>
      </c>
      <c r="F18" s="26" t="n">
        <f aca="false">IF(C18=0,NA(),E18/C18)</f>
        <v>-0.0341968911917098</v>
      </c>
      <c r="G18" s="25" t="n">
        <f aca="false">B18-D18</f>
        <v>-33</v>
      </c>
    </row>
    <row r="21" customFormat="false" ht="16.15" hidden="false" customHeight="false" outlineLevel="0" collapsed="false">
      <c r="A21" s="4" t="s">
        <v>86</v>
      </c>
    </row>
    <row r="22" customFormat="false" ht="15" hidden="false" customHeight="false" outlineLevel="0" collapsed="false">
      <c r="A22" s="0" t="s">
        <v>87</v>
      </c>
      <c r="B22" s="26" t="n">
        <f aca="false">IF(B6=0,NA(),B7/B6)</f>
        <v>0.614291035510305</v>
      </c>
    </row>
    <row r="23" customFormat="false" ht="15" hidden="false" customHeight="false" outlineLevel="0" collapsed="false">
      <c r="A23" s="0" t="s">
        <v>88</v>
      </c>
      <c r="B23" s="26" t="n">
        <f aca="false">IF(C6=0,NA(),C7/C6)</f>
        <v>0.6</v>
      </c>
    </row>
    <row r="24" customFormat="false" ht="15" hidden="false" customHeight="false" outlineLevel="0" collapsed="false">
      <c r="A24" s="0" t="s">
        <v>89</v>
      </c>
      <c r="B24" s="25" t="n">
        <f aca="false">B6*(B22-B23)</f>
        <v>460.399999999999</v>
      </c>
      <c r="C24" s="16" t="s">
        <v>90</v>
      </c>
    </row>
    <row r="25" customFormat="false" ht="15" hidden="false" customHeight="false" outlineLevel="0" collapsed="false">
      <c r="A25" s="0" t="s">
        <v>91</v>
      </c>
      <c r="B25" s="25" t="n">
        <f aca="false">(B6-C6)*B23</f>
        <v>201.6</v>
      </c>
    </row>
    <row r="26" customFormat="false" ht="15" hidden="false" customHeight="false" outlineLevel="0" collapsed="false">
      <c r="A26" s="0" t="s">
        <v>92</v>
      </c>
      <c r="B26" s="25" t="n">
        <f aca="false">B24+B25</f>
        <v>661.999999999999</v>
      </c>
      <c r="C26" s="25" t="n">
        <f aca="false">B7-C7</f>
        <v>662</v>
      </c>
      <c r="D26" s="16" t="s">
        <v>93</v>
      </c>
    </row>
    <row r="28" customFormat="false" ht="16.15" hidden="false" customHeight="false" outlineLevel="0" collapsed="false">
      <c r="A28" s="4" t="s">
        <v>94</v>
      </c>
    </row>
    <row r="29" customFormat="false" ht="55.5" hidden="false" customHeight="true" outlineLevel="0" collapsed="false">
      <c r="A29" s="5" t="s">
        <v>95</v>
      </c>
      <c r="B29" s="5"/>
      <c r="C29" s="5"/>
      <c r="D29" s="5"/>
      <c r="E29" s="5"/>
      <c r="F29" s="5"/>
      <c r="G29" s="5"/>
    </row>
    <row r="30" customFormat="false" ht="15" hidden="false" customHeight="false" outlineLevel="0" collapsed="false">
      <c r="A30" s="5"/>
      <c r="B30" s="5"/>
      <c r="C30" s="5"/>
      <c r="D30" s="5"/>
      <c r="E30" s="5"/>
      <c r="F30" s="5"/>
      <c r="G30" s="5"/>
    </row>
    <row r="31" customFormat="false" ht="15" hidden="false" customHeight="false" outlineLevel="0" collapsed="false">
      <c r="A31" s="5"/>
      <c r="B31" s="5"/>
      <c r="C31" s="5"/>
      <c r="D31" s="5"/>
      <c r="E31" s="5"/>
      <c r="F31" s="5"/>
      <c r="G31" s="5"/>
    </row>
  </sheetData>
  <mergeCells count="2">
    <mergeCell ref="A1:G1"/>
    <mergeCell ref="A29:G31"/>
  </mergeCells>
  <conditionalFormatting sqref="E6:E10">
    <cfRule type="colorScale" priority="2">
      <colorScale>
        <cfvo type="min" val="0"/>
        <cfvo type="num" val="0"/>
        <cfvo type="max" val="0"/>
        <color rgb="FFFDECEC"/>
        <color rgb="FFFFFFFF"/>
        <color rgb="FFE8F5EE"/>
      </colorScale>
    </cfRule>
  </conditionalFormatting>
  <printOptions headings="false" gridLines="false" gridLinesSet="true" horizontalCentered="true" verticalCentered="false"/>
  <pageMargins left="0.75" right="0.75" top="1" bottom="1"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4" min="3" style="0" width="16"/>
    <col collapsed="false" customWidth="true" hidden="false" outlineLevel="0" max="5" min="5" style="0" width="14"/>
    <col collapsed="false" customWidth="true" hidden="false" outlineLevel="0" max="6" min="6" style="0" width="12"/>
  </cols>
  <sheetData>
    <row r="1" customFormat="false" ht="24.45" hidden="false" customHeight="false" outlineLevel="0" collapsed="false">
      <c r="A1" s="27" t="s">
        <v>96</v>
      </c>
    </row>
    <row r="2" customFormat="false" ht="15" hidden="false" customHeight="false" outlineLevel="0" collapsed="false">
      <c r="A2" s="16" t="s">
        <v>97</v>
      </c>
    </row>
    <row r="4" customFormat="false" ht="15" hidden="false" customHeight="false" outlineLevel="0" collapsed="false">
      <c r="A4" s="6" t="s">
        <v>98</v>
      </c>
      <c r="B4" s="6" t="s">
        <v>99</v>
      </c>
      <c r="C4" s="6" t="s">
        <v>79</v>
      </c>
      <c r="D4" s="6" t="s">
        <v>80</v>
      </c>
      <c r="E4" s="6" t="s">
        <v>100</v>
      </c>
      <c r="F4" s="6" t="s">
        <v>101</v>
      </c>
    </row>
    <row r="5" customFormat="false" ht="15" hidden="false" customHeight="false" outlineLevel="0" collapsed="false">
      <c r="A5" s="9" t="s">
        <v>102</v>
      </c>
      <c r="B5" s="19" t="n">
        <v>0.38</v>
      </c>
      <c r="C5" s="25" t="n">
        <f aca="false">$C$12*B5</f>
        <v>2748.16</v>
      </c>
      <c r="D5" s="25" t="n">
        <f aca="false">$D$12*B5</f>
        <v>2682.8</v>
      </c>
      <c r="E5" s="25" t="n">
        <f aca="false">C5-D5</f>
        <v>65.3599999999997</v>
      </c>
      <c r="F5" s="26" t="n">
        <f aca="false">IF(D5=0,NA(),E5/D5)</f>
        <v>0.0243626062322945</v>
      </c>
    </row>
    <row r="6" customFormat="false" ht="15" hidden="false" customHeight="false" outlineLevel="0" collapsed="false">
      <c r="A6" s="9" t="s">
        <v>103</v>
      </c>
      <c r="B6" s="19" t="n">
        <v>0.22</v>
      </c>
      <c r="C6" s="25" t="n">
        <f aca="false">$C$12*B6</f>
        <v>1591.04</v>
      </c>
      <c r="D6" s="25" t="n">
        <f aca="false">$D$12*B6</f>
        <v>1553.2</v>
      </c>
      <c r="E6" s="25" t="n">
        <f aca="false">C6-D6</f>
        <v>37.8399999999999</v>
      </c>
      <c r="F6" s="26" t="n">
        <f aca="false">IF(D6=0,NA(),E6/D6)</f>
        <v>0.0243626062322946</v>
      </c>
    </row>
    <row r="7" customFormat="false" ht="15" hidden="false" customHeight="false" outlineLevel="0" collapsed="false">
      <c r="A7" s="9" t="s">
        <v>104</v>
      </c>
      <c r="B7" s="19" t="n">
        <v>0.18</v>
      </c>
      <c r="C7" s="25" t="n">
        <f aca="false">$C$12*B7</f>
        <v>1301.76</v>
      </c>
      <c r="D7" s="25" t="n">
        <f aca="false">$D$12*B7</f>
        <v>1270.8</v>
      </c>
      <c r="E7" s="25" t="n">
        <f aca="false">C7-D7</f>
        <v>30.96</v>
      </c>
      <c r="F7" s="26" t="n">
        <f aca="false">IF(D7=0,NA(),E7/D7)</f>
        <v>0.0243626062322946</v>
      </c>
    </row>
    <row r="8" customFormat="false" ht="15" hidden="false" customHeight="false" outlineLevel="0" collapsed="false">
      <c r="A8" s="9" t="s">
        <v>105</v>
      </c>
      <c r="B8" s="19" t="n">
        <v>0.09</v>
      </c>
      <c r="C8" s="25" t="n">
        <f aca="false">$C$12*B8</f>
        <v>650.88</v>
      </c>
      <c r="D8" s="25" t="n">
        <f aca="false">$D$12*B8</f>
        <v>635.4</v>
      </c>
      <c r="E8" s="25" t="n">
        <f aca="false">C8-D8</f>
        <v>15.48</v>
      </c>
      <c r="F8" s="26" t="n">
        <f aca="false">IF(D8=0,NA(),E8/D8)</f>
        <v>0.0243626062322946</v>
      </c>
    </row>
    <row r="9" customFormat="false" ht="15" hidden="false" customHeight="false" outlineLevel="0" collapsed="false">
      <c r="A9" s="9" t="s">
        <v>106</v>
      </c>
      <c r="B9" s="19" t="n">
        <v>0.08</v>
      </c>
      <c r="C9" s="25" t="n">
        <f aca="false">$C$12*B9</f>
        <v>578.56</v>
      </c>
      <c r="D9" s="25" t="n">
        <f aca="false">$D$12*B9</f>
        <v>564.8</v>
      </c>
      <c r="E9" s="25" t="n">
        <f aca="false">C9-D9</f>
        <v>13.76</v>
      </c>
      <c r="F9" s="26" t="n">
        <f aca="false">IF(D9=0,NA(),E9/D9)</f>
        <v>0.0243626062322946</v>
      </c>
    </row>
    <row r="10" customFormat="false" ht="15" hidden="false" customHeight="false" outlineLevel="0" collapsed="false">
      <c r="A10" s="9" t="s">
        <v>107</v>
      </c>
      <c r="B10" s="19" t="n">
        <v>0.05</v>
      </c>
      <c r="C10" s="25" t="n">
        <f aca="false">$C$12*B10</f>
        <v>361.6</v>
      </c>
      <c r="D10" s="25" t="n">
        <f aca="false">$D$12*B10</f>
        <v>353</v>
      </c>
      <c r="E10" s="25" t="n">
        <f aca="false">C10-D10</f>
        <v>8.60000000000002</v>
      </c>
      <c r="F10" s="26" t="n">
        <f aca="false">IF(D10=0,NA(),E10/D10)</f>
        <v>0.0243626062322947</v>
      </c>
    </row>
    <row r="11" customFormat="false" ht="16.15" hidden="false" customHeight="false" outlineLevel="0" collapsed="false">
      <c r="A11" s="4" t="s">
        <v>108</v>
      </c>
      <c r="B11" s="26" t="n">
        <f aca="false">SUM(B5:B10)</f>
        <v>1</v>
      </c>
      <c r="C11" s="25" t="n">
        <f aca="false">SUM(C5:C10)</f>
        <v>7232</v>
      </c>
      <c r="D11" s="25" t="n">
        <f aca="false">SUM(D5:D10)</f>
        <v>7060</v>
      </c>
    </row>
    <row r="12" customFormat="false" ht="15" hidden="false" customHeight="false" outlineLevel="0" collapsed="false">
      <c r="A12" s="0" t="s">
        <v>109</v>
      </c>
      <c r="C12" s="25" t="n">
        <f aca="false">SUMPRODUCT(('02_P&amp;L_Monthly'!C16:N16)*(COLUMN('02_P&amp;L_Monthly'!C16:N16)-COLUMN('02_P&amp;L_Monthly'!C16)+1&lt;=01_Assumptions!$C$7))</f>
        <v>7232</v>
      </c>
      <c r="D12" s="25" t="n">
        <f aca="false">SUMPRODUCT(('02_P&amp;L_Monthly'!C14:N14)*(COLUMN('02_P&amp;L_Monthly'!C14:N14)-COLUMN('02_P&amp;L_Monthly'!C14)+1&lt;=01_Assumptions!$C$7))</f>
        <v>7060</v>
      </c>
    </row>
    <row r="13" customFormat="false" ht="15" hidden="false" customHeight="false" outlineLevel="0" collapsed="false">
      <c r="A13" s="0" t="s">
        <v>110</v>
      </c>
    </row>
    <row r="15" customFormat="false" ht="15" hidden="false" customHeight="false" outlineLevel="0" collapsed="false">
      <c r="A15" s="3" t="s">
        <v>111</v>
      </c>
      <c r="B15" s="3"/>
      <c r="C15" s="3"/>
      <c r="D15" s="3"/>
      <c r="E15" s="3"/>
      <c r="F15" s="3"/>
    </row>
    <row r="16" customFormat="false" ht="15" hidden="false" customHeight="false" outlineLevel="0" collapsed="false">
      <c r="A16" s="3"/>
      <c r="B16" s="3"/>
      <c r="C16" s="3"/>
      <c r="D16" s="3"/>
      <c r="E16" s="3"/>
      <c r="F16" s="3"/>
    </row>
  </sheetData>
  <mergeCells count="1">
    <mergeCell ref="A15:F16"/>
  </mergeCells>
  <printOptions headings="false" gridLines="false" gridLinesSet="true" horizontalCentered="true" verticalCentered="false"/>
  <pageMargins left="0.75" right="0.75" top="1" bottom="1"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15" min="3" style="0" width="11"/>
  </cols>
  <sheetData>
    <row r="2" customFormat="false" ht="24.45" hidden="false" customHeight="false" outlineLevel="0" collapsed="false">
      <c r="B2" s="27" t="s">
        <v>112</v>
      </c>
    </row>
    <row r="3" customFormat="false" ht="15" hidden="false" customHeight="false" outlineLevel="0" collapsed="false">
      <c r="B3" s="28" t="str">
        <f aca="false">01_Assumptions!C4</f>
        <v>Northline Consumer Products (fictional)</v>
      </c>
    </row>
    <row r="4" customFormat="false" ht="15" hidden="false" customHeight="false" outlineLevel="0" collapsed="false">
      <c r="B4" s="16" t="str">
        <f aca="false">"YTD through "&amp;01_Assumptions!C8&amp;"  |  $ thousands"</f>
        <v>YTD through Jul  |  $ thousands</v>
      </c>
    </row>
    <row r="6" customFormat="false" ht="15" hidden="false" customHeight="true" outlineLevel="0" collapsed="false">
      <c r="B6" s="29" t="s">
        <v>113</v>
      </c>
      <c r="C6" s="29"/>
      <c r="D6" s="29" t="s">
        <v>114</v>
      </c>
      <c r="E6" s="29"/>
      <c r="F6" s="29" t="s">
        <v>115</v>
      </c>
      <c r="G6" s="29"/>
      <c r="H6" s="29" t="s">
        <v>116</v>
      </c>
      <c r="I6" s="29"/>
    </row>
    <row r="7" customFormat="false" ht="20.85" hidden="false" customHeight="false" outlineLevel="0" collapsed="false">
      <c r="B7" s="30" t="n">
        <f aca="false">03_Variance!B6</f>
        <v>32216</v>
      </c>
      <c r="C7" s="30"/>
      <c r="D7" s="30" t="n">
        <f aca="false">03_Variance!B8</f>
        <v>12426</v>
      </c>
      <c r="E7" s="30"/>
      <c r="F7" s="30" t="n">
        <f aca="false">03_Variance!B10</f>
        <v>5194</v>
      </c>
      <c r="G7" s="30"/>
      <c r="H7" s="31" t="n">
        <f aca="false">03_Variance!B22</f>
        <v>0.614291035510305</v>
      </c>
      <c r="I7" s="31"/>
    </row>
    <row r="8" customFormat="false" ht="15" hidden="false" customHeight="false" outlineLevel="0" collapsed="false">
      <c r="B8" s="25" t="n">
        <f aca="false">03_Variance!E6</f>
        <v>336</v>
      </c>
      <c r="C8" s="25"/>
      <c r="D8" s="25" t="n">
        <f aca="false">03_Variance!E8</f>
        <v>-326</v>
      </c>
      <c r="E8" s="25"/>
      <c r="F8" s="25" t="n">
        <f aca="false">03_Variance!E10</f>
        <v>-498</v>
      </c>
      <c r="G8" s="25"/>
      <c r="H8" s="26" t="n">
        <f aca="false">03_Variance!B22-03_Variance!B23</f>
        <v>0.0142910355103054</v>
      </c>
      <c r="I8" s="26"/>
    </row>
    <row r="9" customFormat="false" ht="15" hidden="false" customHeight="true" outlineLevel="0" collapsed="false">
      <c r="B9" s="32" t="s">
        <v>117</v>
      </c>
      <c r="C9" s="32"/>
      <c r="D9" s="32" t="s">
        <v>117</v>
      </c>
      <c r="E9" s="32"/>
      <c r="F9" s="32" t="s">
        <v>117</v>
      </c>
      <c r="G9" s="32"/>
      <c r="H9" s="32" t="s">
        <v>117</v>
      </c>
      <c r="I9" s="32"/>
    </row>
    <row r="11" customFormat="false" ht="16.15" hidden="false" customHeight="false" outlineLevel="0" collapsed="false">
      <c r="B11" s="4" t="s">
        <v>118</v>
      </c>
    </row>
    <row r="13" customFormat="false" ht="15" hidden="false" customHeight="false" outlineLevel="0" collapsed="false">
      <c r="B13" s="0" t="s">
        <v>119</v>
      </c>
      <c r="C13" s="33" t="s">
        <v>52</v>
      </c>
      <c r="D13" s="33" t="s">
        <v>53</v>
      </c>
      <c r="E13" s="33" t="s">
        <v>54</v>
      </c>
      <c r="F13" s="33" t="s">
        <v>55</v>
      </c>
      <c r="G13" s="33" t="s">
        <v>56</v>
      </c>
      <c r="H13" s="33" t="s">
        <v>57</v>
      </c>
      <c r="I13" s="33" t="s">
        <v>58</v>
      </c>
      <c r="J13" s="33" t="s">
        <v>59</v>
      </c>
      <c r="K13" s="33" t="s">
        <v>60</v>
      </c>
      <c r="L13" s="33" t="s">
        <v>61</v>
      </c>
      <c r="M13" s="33" t="s">
        <v>62</v>
      </c>
      <c r="N13" s="33" t="s">
        <v>63</v>
      </c>
    </row>
    <row r="14" customFormat="false" ht="15" hidden="false" customHeight="false" outlineLevel="0" collapsed="false">
      <c r="B14" s="0" t="s">
        <v>66</v>
      </c>
      <c r="C14" s="25" t="n">
        <f aca="false">'02_P&amp;L_Monthly'!C5</f>
        <v>4200</v>
      </c>
      <c r="D14" s="25" t="n">
        <f aca="false">'02_P&amp;L_Monthly'!D5</f>
        <v>4150</v>
      </c>
      <c r="E14" s="25" t="n">
        <f aca="false">'02_P&amp;L_Monthly'!E5</f>
        <v>4380</v>
      </c>
      <c r="F14" s="25" t="n">
        <f aca="false">'02_P&amp;L_Monthly'!F5</f>
        <v>4520</v>
      </c>
      <c r="G14" s="25" t="n">
        <f aca="false">'02_P&amp;L_Monthly'!G5</f>
        <v>4680</v>
      </c>
      <c r="H14" s="25" t="n">
        <f aca="false">'02_P&amp;L_Monthly'!H5</f>
        <v>4900</v>
      </c>
      <c r="I14" s="25" t="n">
        <f aca="false">'02_P&amp;L_Monthly'!I5</f>
        <v>5050</v>
      </c>
      <c r="J14" s="25" t="n">
        <f aca="false">'02_P&amp;L_Monthly'!J5</f>
        <v>5120</v>
      </c>
      <c r="K14" s="25" t="n">
        <f aca="false">'02_P&amp;L_Monthly'!K5</f>
        <v>4980</v>
      </c>
      <c r="L14" s="25" t="n">
        <f aca="false">'02_P&amp;L_Monthly'!L5</f>
        <v>5200</v>
      </c>
      <c r="M14" s="25" t="n">
        <f aca="false">'02_P&amp;L_Monthly'!M5</f>
        <v>5450</v>
      </c>
      <c r="N14" s="25" t="n">
        <f aca="false">'02_P&amp;L_Monthly'!N5</f>
        <v>5720</v>
      </c>
    </row>
    <row r="15" customFormat="false" ht="15" hidden="false" customHeight="false" outlineLevel="0" collapsed="false">
      <c r="B15" s="0" t="s">
        <v>67</v>
      </c>
      <c r="C15" s="25" t="n">
        <f aca="false">'02_P&amp;L_Monthly'!C6</f>
        <v>4180</v>
      </c>
      <c r="D15" s="25" t="n">
        <f aca="false">'02_P&amp;L_Monthly'!D6</f>
        <v>4120</v>
      </c>
      <c r="E15" s="25" t="n">
        <f aca="false">'02_P&amp;L_Monthly'!E6</f>
        <v>4410</v>
      </c>
      <c r="F15" s="25" t="n">
        <f aca="false">'02_P&amp;L_Monthly'!F6</f>
        <v>4490</v>
      </c>
      <c r="G15" s="25" t="n">
        <f aca="false">'02_P&amp;L_Monthly'!G6</f>
        <v>4710</v>
      </c>
      <c r="H15" s="25" t="n">
        <f aca="false">'02_P&amp;L_Monthly'!H6</f>
        <v>5020</v>
      </c>
      <c r="I15" s="25" t="n">
        <f aca="false">'02_P&amp;L_Monthly'!I6</f>
        <v>5180</v>
      </c>
      <c r="J15" s="25" t="n">
        <f aca="false">'02_P&amp;L_Monthly'!J6</f>
        <v>5240</v>
      </c>
      <c r="K15" s="25" t="n">
        <f aca="false">'02_P&amp;L_Monthly'!K6</f>
        <v>5100</v>
      </c>
      <c r="L15" s="25" t="n">
        <f aca="false">'02_P&amp;L_Monthly'!L6</f>
        <v>5350</v>
      </c>
      <c r="M15" s="25" t="n">
        <f aca="false">'02_P&amp;L_Monthly'!M6</f>
        <v>5600</v>
      </c>
      <c r="N15" s="25" t="n">
        <f aca="false">'02_P&amp;L_Monthly'!N6</f>
        <v>5880</v>
      </c>
    </row>
    <row r="16" customFormat="false" ht="15" hidden="false" customHeight="false" outlineLevel="0" collapsed="false">
      <c r="B16" s="0" t="s">
        <v>68</v>
      </c>
      <c r="C16" s="25" t="n">
        <f aca="false">'02_P&amp;L_Monthly'!C7</f>
        <v>4165</v>
      </c>
      <c r="D16" s="25" t="n">
        <f aca="false">'02_P&amp;L_Monthly'!D7</f>
        <v>4098</v>
      </c>
      <c r="E16" s="25" t="n">
        <f aca="false">'02_P&amp;L_Monthly'!E7</f>
        <v>4442</v>
      </c>
      <c r="F16" s="25" t="n">
        <f aca="false">'02_P&amp;L_Monthly'!F7</f>
        <v>4475</v>
      </c>
      <c r="G16" s="25" t="n">
        <f aca="false">'02_P&amp;L_Monthly'!G7</f>
        <v>4738</v>
      </c>
      <c r="H16" s="25" t="n">
        <f aca="false">'02_P&amp;L_Monthly'!H7</f>
        <v>5088</v>
      </c>
      <c r="I16" s="25" t="n">
        <f aca="false">'02_P&amp;L_Monthly'!I7</f>
        <v>5210</v>
      </c>
      <c r="J16" s="25" t="n">
        <f aca="false">'02_P&amp;L_Monthly'!J7</f>
        <v>0</v>
      </c>
      <c r="K16" s="25" t="n">
        <f aca="false">'02_P&amp;L_Monthly'!K7</f>
        <v>0</v>
      </c>
      <c r="L16" s="25" t="n">
        <f aca="false">'02_P&amp;L_Monthly'!L7</f>
        <v>0</v>
      </c>
      <c r="M16" s="25" t="n">
        <f aca="false">'02_P&amp;L_Monthly'!M7</f>
        <v>0</v>
      </c>
      <c r="N16" s="25" t="n">
        <f aca="false">'02_P&amp;L_Monthly'!N7</f>
        <v>0</v>
      </c>
    </row>
    <row r="32" customFormat="false" ht="16.15" hidden="false" customHeight="false" outlineLevel="0" collapsed="false">
      <c r="B32" s="4" t="s">
        <v>120</v>
      </c>
    </row>
    <row r="33" customFormat="false" ht="39.75" hidden="false" customHeight="true" outlineLevel="0" collapsed="false">
      <c r="B33" s="5" t="s">
        <v>121</v>
      </c>
      <c r="C33" s="5"/>
      <c r="D33" s="5"/>
      <c r="E33" s="5"/>
      <c r="F33" s="5"/>
      <c r="G33" s="5"/>
      <c r="H33" s="5"/>
      <c r="I33" s="5"/>
    </row>
    <row r="34" customFormat="false" ht="15" hidden="false" customHeight="false" outlineLevel="0" collapsed="false">
      <c r="B34" s="5"/>
      <c r="C34" s="5"/>
      <c r="D34" s="5"/>
      <c r="E34" s="5"/>
      <c r="F34" s="5"/>
      <c r="G34" s="5"/>
      <c r="H34" s="5"/>
      <c r="I34" s="5"/>
    </row>
    <row r="35" customFormat="false" ht="15" hidden="false" customHeight="false" outlineLevel="0" collapsed="false">
      <c r="B35" s="5"/>
      <c r="C35" s="5"/>
      <c r="D35" s="5"/>
      <c r="E35" s="5"/>
      <c r="F35" s="5"/>
      <c r="G35" s="5"/>
      <c r="H35" s="5"/>
      <c r="I35" s="5"/>
    </row>
  </sheetData>
  <mergeCells count="17">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33:I35"/>
  </mergeCells>
  <printOptions headings="false" gridLines="false" gridLinesSet="true" horizontalCentered="true" verticalCentered="false"/>
  <pageMargins left="0.75" right="0.75" top="1" bottom="1"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36"/>
  </cols>
  <sheetData>
    <row r="1" customFormat="false" ht="24.45" hidden="false" customHeight="false" outlineLevel="0" collapsed="false">
      <c r="A1" s="27" t="s">
        <v>122</v>
      </c>
    </row>
    <row r="3" customFormat="false" ht="15" hidden="false" customHeight="false" outlineLevel="0" collapsed="false">
      <c r="A3" s="6" t="s">
        <v>123</v>
      </c>
      <c r="B3" s="6" t="s">
        <v>124</v>
      </c>
      <c r="C3" s="6" t="s">
        <v>125</v>
      </c>
    </row>
    <row r="4" customFormat="false" ht="15" hidden="false" customHeight="false" outlineLevel="0" collapsed="false">
      <c r="A4" s="34" t="s">
        <v>126</v>
      </c>
      <c r="B4" s="35" t="s">
        <v>127</v>
      </c>
      <c r="C4" s="36" t="s">
        <v>128</v>
      </c>
    </row>
    <row r="5" customFormat="false" ht="15" hidden="false" customHeight="false" outlineLevel="0" collapsed="false">
      <c r="A5" s="34" t="s">
        <v>66</v>
      </c>
      <c r="B5" s="35" t="s">
        <v>129</v>
      </c>
      <c r="C5" s="36" t="s">
        <v>130</v>
      </c>
    </row>
    <row r="6" customFormat="false" ht="15" hidden="false" customHeight="false" outlineLevel="0" collapsed="false">
      <c r="A6" s="34" t="s">
        <v>67</v>
      </c>
      <c r="B6" s="35" t="s">
        <v>131</v>
      </c>
      <c r="C6" s="36" t="s">
        <v>132</v>
      </c>
    </row>
    <row r="7" customFormat="false" ht="15" hidden="false" customHeight="false" outlineLevel="0" collapsed="false">
      <c r="A7" s="34" t="s">
        <v>68</v>
      </c>
      <c r="B7" s="35" t="s">
        <v>133</v>
      </c>
      <c r="C7" s="36" t="s">
        <v>134</v>
      </c>
    </row>
    <row r="8" customFormat="false" ht="15" hidden="false" customHeight="false" outlineLevel="0" collapsed="false">
      <c r="A8" s="34" t="s">
        <v>82</v>
      </c>
      <c r="B8" s="35" t="s">
        <v>135</v>
      </c>
      <c r="C8" s="36" t="s">
        <v>12</v>
      </c>
    </row>
    <row r="9" customFormat="false" ht="15" hidden="false" customHeight="false" outlineLevel="0" collapsed="false">
      <c r="A9" s="34" t="s">
        <v>136</v>
      </c>
      <c r="B9" s="35" t="s">
        <v>137</v>
      </c>
      <c r="C9" s="36" t="s">
        <v>138</v>
      </c>
    </row>
    <row r="10" customFormat="false" ht="15" hidden="false" customHeight="false" outlineLevel="0" collapsed="false">
      <c r="A10" s="34" t="s">
        <v>139</v>
      </c>
      <c r="B10" s="35" t="s">
        <v>140</v>
      </c>
      <c r="C10" s="36" t="s">
        <v>141</v>
      </c>
    </row>
    <row r="11" customFormat="false" ht="15" hidden="false" customHeight="false" outlineLevel="0" collapsed="false">
      <c r="A11" s="34" t="s">
        <v>142</v>
      </c>
      <c r="B11" s="35" t="s">
        <v>143</v>
      </c>
      <c r="C11" s="36" t="s">
        <v>144</v>
      </c>
    </row>
    <row r="12" customFormat="false" ht="15" hidden="false" customHeight="false" outlineLevel="0" collapsed="false">
      <c r="A12" s="34" t="s">
        <v>145</v>
      </c>
      <c r="B12" s="35" t="s">
        <v>146</v>
      </c>
      <c r="C12" s="36" t="s">
        <v>147</v>
      </c>
    </row>
  </sheetData>
  <printOptions headings="false" gridLines="false" gridLinesSet="true" horizontalCentered="true" verticalCentered="false"/>
  <pageMargins left="0.75" right="0.75" top="1" bottom="1" header="0.5" footer="0.511811023622047"/>
  <pageSetup paperSize="3" scale="100" fitToWidth="1" fitToHeight="1" pageOrder="downThenOver" orientation="landscape" blackAndWhite="false" draft="false" cellComments="none" horizontalDpi="300" verticalDpi="300" copies="1"/>
  <headerFooter differentFirst="false" differentOddEven="false">
    <oddHeader>&amp;LNorthline FP&amp;A  |  Sample  |  Confidentiality: public portfolio only</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2026-08-27T13:27:48Z</dcterms:created>
  <dc:creator>openpyxl</dc:creator>
  <dc:description/>
  <dc:language>en-US</dc:language>
  <cp:lastModifiedBy/>
  <dcterms:modified xsi:type="dcterms:W3CDTF">2026-08-27T13:27:50Z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